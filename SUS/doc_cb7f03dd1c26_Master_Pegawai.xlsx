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yPC PRO\Documents\Firman\SIAK\SMKI\Formil\3205\"/>
    </mc:Choice>
  </mc:AlternateContent>
  <xr:revisionPtr revIDLastSave="0" documentId="13_ncr:1_{8469A99E-928D-40EB-9482-E8314060285F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uk PNS" sheetId="60" r:id="rId1"/>
    <sheet name="nominatif PPPK penuh waktu" sheetId="61" r:id="rId2"/>
    <sheet name="nominatif PPPK paruh waktu" sheetId="66" r:id="rId3"/>
    <sheet name="rekap nominatif" sheetId="64" r:id="rId4"/>
  </sheets>
  <definedNames>
    <definedName name="_xlnm._FilterDatabase" localSheetId="0" hidden="1">'duk PNS'!$D$1:$D$135</definedName>
    <definedName name="_xlnm._FilterDatabase" localSheetId="2" hidden="1">'nominatif PPPK paruh waktu'!$N$1:$N$91</definedName>
    <definedName name="_xlnm._FilterDatabase" localSheetId="1" hidden="1">'nominatif PPPK penuh waktu'!$M$1:$M$76</definedName>
    <definedName name="_xlnm.Print_Area" localSheetId="3">'rekap nominatif'!$A$1:$F$84</definedName>
    <definedName name="_xlnm.Print_Titles" localSheetId="0">'duk PNS'!$5:$8</definedName>
    <definedName name="_xlnm.Print_Titles" localSheetId="2">'nominatif PPPK paruh waktu'!$5:$7</definedName>
    <definedName name="_xlnm.Print_Titles" localSheetId="1">'nominatif PPPK penuh waktu'!$5:$7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72" i="64" l="1"/>
  <c r="C61" i="64"/>
  <c r="C53" i="64"/>
  <c r="C39" i="64"/>
  <c r="C24" i="64"/>
  <c r="C14" i="64"/>
  <c r="Q99" i="60" l="1"/>
  <c r="Q97" i="60" s="1"/>
  <c r="Q95" i="60"/>
  <c r="M39" i="60"/>
  <c r="M31" i="60"/>
</calcChain>
</file>

<file path=xl/sharedStrings.xml><?xml version="1.0" encoding="utf-8"?>
<sst xmlns="http://schemas.openxmlformats.org/spreadsheetml/2006/main" count="1860" uniqueCount="614">
  <si>
    <t>NAMA</t>
  </si>
  <si>
    <t>NIP</t>
  </si>
  <si>
    <t>TMT</t>
  </si>
  <si>
    <t>Pembina</t>
  </si>
  <si>
    <t>IV a</t>
  </si>
  <si>
    <t>Penata Tk. I</t>
  </si>
  <si>
    <t>III / d</t>
  </si>
  <si>
    <t>III / c</t>
  </si>
  <si>
    <t>Dadang Suharli, S. Sos</t>
  </si>
  <si>
    <t>19691209 200604 1 006</t>
  </si>
  <si>
    <t>-</t>
  </si>
  <si>
    <t>Dra. Hj. Sri Wartini</t>
  </si>
  <si>
    <t>19680912 199011 2 001</t>
  </si>
  <si>
    <t>Penata Muda Tk.I</t>
  </si>
  <si>
    <t>III / b</t>
  </si>
  <si>
    <t>Penata Muda</t>
  </si>
  <si>
    <t>III / a</t>
  </si>
  <si>
    <t>Suryaman, A.Md</t>
  </si>
  <si>
    <t>19760812 200801 2 011</t>
  </si>
  <si>
    <t>Aminaty, S.IP</t>
  </si>
  <si>
    <t>19850103 201001 1 001</t>
  </si>
  <si>
    <t>19850810 201001 1 001</t>
  </si>
  <si>
    <t>Alit Rostiani</t>
  </si>
  <si>
    <t>Eulis Dalia, A.M.d</t>
  </si>
  <si>
    <t>19690305 200701 2 009</t>
  </si>
  <si>
    <t>Pengatur Tk.I</t>
  </si>
  <si>
    <t>II / d</t>
  </si>
  <si>
    <t>Iseu Royani, A.M.d</t>
  </si>
  <si>
    <t>19700928 200701 2 006</t>
  </si>
  <si>
    <t>Pengatur</t>
  </si>
  <si>
    <t>II / c</t>
  </si>
  <si>
    <t>19850406 201101 1 002</t>
  </si>
  <si>
    <t>Ania Ningsih</t>
  </si>
  <si>
    <t>19701018 200701 2 003</t>
  </si>
  <si>
    <t>Kiki Mulyana</t>
  </si>
  <si>
    <t>Eva Siti Masruroh, S.Sos</t>
  </si>
  <si>
    <t>Maman Warisman, SE</t>
  </si>
  <si>
    <t>19770115 201411 1 001</t>
  </si>
  <si>
    <t>19740316 201410 1 001</t>
  </si>
  <si>
    <t>GOL. RUANG</t>
  </si>
  <si>
    <t>KET</t>
  </si>
  <si>
    <t>19751014 199803 2 003</t>
  </si>
  <si>
    <t>19750711 200501 1 006</t>
  </si>
  <si>
    <t>19760610 200701 1 037</t>
  </si>
  <si>
    <t>19820303 200902 2 004</t>
  </si>
  <si>
    <t>Galih Anugrah, A.M.d.Kom</t>
  </si>
  <si>
    <t>Ila laelani, SIP.,M.Si</t>
  </si>
  <si>
    <t>19811026 200801 2 002</t>
  </si>
  <si>
    <t>19760904 200701 1 008</t>
  </si>
  <si>
    <t>Aris Gristianto</t>
  </si>
  <si>
    <t>19780819 200801 1 003</t>
  </si>
  <si>
    <t>19830217 200801 1 004</t>
  </si>
  <si>
    <t>Nandang Gunawan, S.Sos</t>
  </si>
  <si>
    <t>19760227 200801 1 004</t>
  </si>
  <si>
    <t>M. Hamdan Al Hasani, SE</t>
  </si>
  <si>
    <t>DINAS KEPENDUDUKAN DAN PENCATATAN SIPIL KABUPATEN GARUT</t>
  </si>
  <si>
    <t>MASA KERJA</t>
  </si>
  <si>
    <t>PENDIDIKAN AKHIR</t>
  </si>
  <si>
    <t>S2</t>
  </si>
  <si>
    <t>S1</t>
  </si>
  <si>
    <t>PIM IV</t>
  </si>
  <si>
    <t>SMA</t>
  </si>
  <si>
    <t>STM</t>
  </si>
  <si>
    <t>Euis Syaidah, S.Pd.I</t>
  </si>
  <si>
    <t>19740313 201001 2 002</t>
  </si>
  <si>
    <t>Cucun Hasanah</t>
  </si>
  <si>
    <t>19790106 199903 2 001</t>
  </si>
  <si>
    <t>Budi Gunawan</t>
  </si>
  <si>
    <t>19790902 201001 1 002</t>
  </si>
  <si>
    <t>Cahya Permana</t>
  </si>
  <si>
    <t>19810715 200901 1 009</t>
  </si>
  <si>
    <t>Supian</t>
  </si>
  <si>
    <t>19680321 200701 1 006</t>
  </si>
  <si>
    <t>SLTA</t>
  </si>
  <si>
    <t>Novi Noviatin, SH</t>
  </si>
  <si>
    <t>19751106 200604 2 013</t>
  </si>
  <si>
    <t>Yusep Sunandi, SE</t>
  </si>
  <si>
    <t>19710816 200701 1 011</t>
  </si>
  <si>
    <t>Ade Teti Rahmawati, S.Sos</t>
  </si>
  <si>
    <t>19751104 201411 2 002</t>
  </si>
  <si>
    <t>Asep Arbiansyah</t>
  </si>
  <si>
    <t>19790704 200604 1 010</t>
  </si>
  <si>
    <t>19800518 201411 1 001</t>
  </si>
  <si>
    <t>Efran Brando, SIP</t>
  </si>
  <si>
    <t>19771112 200801  1 003</t>
  </si>
  <si>
    <t>Wahyu Budiawan, SIP</t>
  </si>
  <si>
    <t>Asep Sunarya, S,IP</t>
  </si>
  <si>
    <t>19690817 199009 2 001</t>
  </si>
  <si>
    <t>Pengadministrasi Kependudukan</t>
  </si>
  <si>
    <t>Bendahara</t>
  </si>
  <si>
    <t>Kabid. Pengelolaan Informasi Administrasi Kependudukan</t>
  </si>
  <si>
    <t>Kabid. Pemanfaatan Data dan Inovasi Pelayanan</t>
  </si>
  <si>
    <t>Kasi Pindah Datang Penduduk</t>
  </si>
  <si>
    <t>BULAN</t>
  </si>
  <si>
    <t xml:space="preserve">TAHUN </t>
  </si>
  <si>
    <t>JABATAN</t>
  </si>
  <si>
    <t xml:space="preserve">Penata </t>
  </si>
  <si>
    <t>Sari Nurlistiana, S.Sos., M.Si</t>
  </si>
  <si>
    <t>Bayu Kusumawardani, SE</t>
  </si>
  <si>
    <t>Penyusun Program Kreativitas dan Inovasi</t>
  </si>
  <si>
    <t>Kasubbag Keuangan dan BMD</t>
  </si>
  <si>
    <t>19840323 201001  2001</t>
  </si>
  <si>
    <t>19810903 201001 2 001</t>
  </si>
  <si>
    <t>Popon Rispolany</t>
  </si>
  <si>
    <t>19680803 200701 2 012</t>
  </si>
  <si>
    <t>Pengadministrasi Umum</t>
  </si>
  <si>
    <t>Pengadministrasi Perencanaan dan Program</t>
  </si>
  <si>
    <t>Penyusun Pencatatan dan Pelaporan Data Kependudukan</t>
  </si>
  <si>
    <t>Sekretaris</t>
  </si>
  <si>
    <t>SMEA</t>
  </si>
  <si>
    <t>SMU</t>
  </si>
  <si>
    <t>Pengelola Pemanfaatan BMD</t>
  </si>
  <si>
    <t>M.Refqi Fauzi Al Ahsani, SE</t>
  </si>
  <si>
    <t>Ichsan Nurhakim, A.Md</t>
  </si>
  <si>
    <t>19920525 202012 1 010</t>
  </si>
  <si>
    <t>D.3</t>
  </si>
  <si>
    <t>Andi Rahman Efendi, A.Md.Kom</t>
  </si>
  <si>
    <t>19921222 202012 1 010</t>
  </si>
  <si>
    <t>Firman Firdaus, A.Md.Kom</t>
  </si>
  <si>
    <t>19950923 202012 1 009</t>
  </si>
  <si>
    <t>NO URUT</t>
  </si>
  <si>
    <t xml:space="preserve"> PANGKAT </t>
  </si>
  <si>
    <t xml:space="preserve">TMT </t>
  </si>
  <si>
    <t>BLN DAN THN</t>
  </si>
  <si>
    <t>JUMLAH JAM</t>
  </si>
  <si>
    <t>LATIHAN JABATAN</t>
  </si>
  <si>
    <t>LULUS TAHUN</t>
  </si>
  <si>
    <t>TINGKAT IJAZAH</t>
  </si>
  <si>
    <t>USIA</t>
  </si>
  <si>
    <t>CATATAN MUTASI KEPEGAWAIAN</t>
  </si>
  <si>
    <t>THN</t>
  </si>
  <si>
    <t>UNPAD</t>
  </si>
  <si>
    <t>UNIGA</t>
  </si>
  <si>
    <t>STIE YASA ANGGANA</t>
  </si>
  <si>
    <t>AMIK GARUT</t>
  </si>
  <si>
    <t>UNISBA</t>
  </si>
  <si>
    <t>STIE KRIDATAMA</t>
  </si>
  <si>
    <t>SMEA NEGERI</t>
  </si>
  <si>
    <t>STAI AL MUSDARIYAH CIMAHI</t>
  </si>
  <si>
    <t>SMA SETIA BAKTI</t>
  </si>
  <si>
    <t>STIE GARUT</t>
  </si>
  <si>
    <t xml:space="preserve">SMAN 2 </t>
  </si>
  <si>
    <t>SMAN I</t>
  </si>
  <si>
    <t xml:space="preserve">SLTPN 7 </t>
  </si>
  <si>
    <t>SMA PGRI</t>
  </si>
  <si>
    <t>SMU I PAMEUNGPEUK</t>
  </si>
  <si>
    <t>SMU 3 TAROGONG</t>
  </si>
  <si>
    <t>STTG</t>
  </si>
  <si>
    <t>POLITEKNIK PIKSI GANESHA</t>
  </si>
  <si>
    <t>PAKET C</t>
  </si>
  <si>
    <t>DAFTAR URUT KEPANGKATAN PEGAWAI NEGERI SIPIL</t>
  </si>
  <si>
    <t>Kasi Kelahiran</t>
  </si>
  <si>
    <t>Kasi Inovasi Pelayanan</t>
  </si>
  <si>
    <t>Kasi Identitas Penduduk</t>
  </si>
  <si>
    <t>Kasi Perubahan status anak, pewarganegaraan dan kematian</t>
  </si>
  <si>
    <t>Kasubbag Perencanaan, Evaluasi dan Pelaporan</t>
  </si>
  <si>
    <t>Kasi Perkawinan dan Perceraian</t>
  </si>
  <si>
    <t>Kasi Pemanfaatan Data dan Dokumen Kependudukan</t>
  </si>
  <si>
    <t>Kasi Sistem Informasi Administrasi Kependudukan</t>
  </si>
  <si>
    <t>Kasi Pengolahan dan Penyajian Data Kependudukan</t>
  </si>
  <si>
    <t>Bendahara Gaji</t>
  </si>
  <si>
    <t>Pengadministrasi Keuangan</t>
  </si>
  <si>
    <t>Penyusun Data Akta Kelahiran</t>
  </si>
  <si>
    <t>Analis Program Diklat</t>
  </si>
  <si>
    <t>Penyusun Bahan Publikasi</t>
  </si>
  <si>
    <t>Operator Komputer</t>
  </si>
  <si>
    <t>Pengumpul dan Pengolah Data Akta Perkawinan dan Perceraian</t>
  </si>
  <si>
    <t>Pengumpul dan Pengolah Data</t>
  </si>
  <si>
    <t>Pengumpul dan Pengolah Data Akta Kelahiran</t>
  </si>
  <si>
    <t>Pemungut Retribusi Jasa Usaha Terminal</t>
  </si>
  <si>
    <t>Analis Kebijakan Ahli Muda</t>
  </si>
  <si>
    <t>Administrator Database Kependudukan Ahli Muda</t>
  </si>
  <si>
    <t>Perencana Ahli Muda</t>
  </si>
  <si>
    <t>Pranata Komputer Ahli Muda</t>
  </si>
  <si>
    <t>Hendra Hidayatuloh, S.IP.,M.Si</t>
  </si>
  <si>
    <t>19790320 201001 1 002</t>
  </si>
  <si>
    <t>Kasubbag Umum dan Kepegawaian Bappeda</t>
  </si>
  <si>
    <t>Dewi Maesaroh, ST</t>
  </si>
  <si>
    <t>19881028 202203 2 006</t>
  </si>
  <si>
    <t>CPNS JF ahli pertama ADB Kependudukan</t>
  </si>
  <si>
    <t>Hening Nur Azizah, S.Kom</t>
  </si>
  <si>
    <t>19900220 202203 2 010</t>
  </si>
  <si>
    <t>Sabtian Juliana, ST</t>
  </si>
  <si>
    <t>19970705 202203 1 004</t>
  </si>
  <si>
    <t>Karsa Suada Ahmad, A.Md</t>
  </si>
  <si>
    <t>19870321 202203 1 005</t>
  </si>
  <si>
    <t>CPNS JF Terampil Operator SIAK</t>
  </si>
  <si>
    <t>Arifin Yusup, A.Md</t>
  </si>
  <si>
    <t>19890808 202203 1 005</t>
  </si>
  <si>
    <t>Devi Dwiyanti, A.Md</t>
  </si>
  <si>
    <t>19891227 202203 2 007</t>
  </si>
  <si>
    <t>Dery Febry Fristama, A.Md.Kom</t>
  </si>
  <si>
    <t>19901203 202203 1 006</t>
  </si>
  <si>
    <t>Eka Suryadi Pratama, A.Md</t>
  </si>
  <si>
    <t>19910216 202203 1 006</t>
  </si>
  <si>
    <t>Rangga Lesmana, A.Md</t>
  </si>
  <si>
    <t>19950704 202203 1 010</t>
  </si>
  <si>
    <t>19960531 202203 1 012</t>
  </si>
  <si>
    <t>Amanda Alfina, A.Md.Kom</t>
  </si>
  <si>
    <t>19971219 202203 2 025</t>
  </si>
  <si>
    <t>Alfia Rahmani, A.Md.Kom</t>
  </si>
  <si>
    <t>19981019 202203 2 021</t>
  </si>
  <si>
    <t>Rizki Ade Maulana, A.Md</t>
  </si>
  <si>
    <t>19990424 202203 1 008</t>
  </si>
  <si>
    <t>UNIVERSITAS ISLAM NEGERI BANDUNG</t>
  </si>
  <si>
    <t>AMIK BANDUNG</t>
  </si>
  <si>
    <t>POLITEKNIK NEGERI LAMPUNG</t>
  </si>
  <si>
    <t>POLITEKNIK FIKSI GANESHA BANDUNG</t>
  </si>
  <si>
    <t>UNIVERSITAS BUDI LUHUR JAKARTA</t>
  </si>
  <si>
    <t>INSTITUT PERTANIAN BOGOR</t>
  </si>
  <si>
    <t>UNIVERSITAS BINA SARANA INFORMATIKA</t>
  </si>
  <si>
    <t>AMIK AL MA' SOEM BANDUNG</t>
  </si>
  <si>
    <t>UNIVERSITAS HASANUDDIN MAKASAR</t>
  </si>
  <si>
    <t>POLITEKNIK TEDC BANDUNG</t>
  </si>
  <si>
    <t>POLITEKNIK LP3I BANDUNG</t>
  </si>
  <si>
    <t>893 JAM</t>
  </si>
  <si>
    <t>285 JAM</t>
  </si>
  <si>
    <t>603 JAM</t>
  </si>
  <si>
    <t>135 JAM</t>
  </si>
  <si>
    <t>290 JAM</t>
  </si>
  <si>
    <t>830 JAM</t>
  </si>
  <si>
    <t>PIM PENGAWAS ANGKATAN I</t>
  </si>
  <si>
    <t xml:space="preserve">Kasubbag Umum dan Kepegawaian </t>
  </si>
  <si>
    <t>Kasubbag Umum dan Kepegawaian</t>
  </si>
  <si>
    <t>Kabid. Pelayanan Pendaftaran Penduduk</t>
  </si>
  <si>
    <t>Susilowati Dewi Damayanti, S.M</t>
  </si>
  <si>
    <t>PIM PENGAWAS ANGKATAN X</t>
  </si>
  <si>
    <t>PIM ADMINISTRATOR ANGKATAN II</t>
  </si>
  <si>
    <t>908 JAM</t>
  </si>
  <si>
    <t>pengelola pemanfaatan BMD</t>
  </si>
  <si>
    <t>STAIDA Muhammadiyah Garut</t>
  </si>
  <si>
    <t>PIM ADMINISTRATOR ANGKATAN I</t>
  </si>
  <si>
    <t>Operator Sistem Informasi Administrasi Kependudukan Terampil</t>
  </si>
  <si>
    <t>Administrator Database Kependudukan Ahli Pertama</t>
  </si>
  <si>
    <t>Siti Hasanah, SE.,M.M</t>
  </si>
  <si>
    <t>IKOPIN SUMEDANG</t>
  </si>
  <si>
    <t>Galih Yudhapraja, S.S.,M.Si</t>
  </si>
  <si>
    <t>19800219 201001 1 001</t>
  </si>
  <si>
    <t>PIM III ANGKATAN II</t>
  </si>
  <si>
    <t>857 JAM</t>
  </si>
  <si>
    <t>Kabid. Hubungan Industrial disnakertrans</t>
  </si>
  <si>
    <t>Fikry Lidienillah, SE</t>
  </si>
  <si>
    <t>198912272025041001</t>
  </si>
  <si>
    <t>Arsiparis Ahli Pertama</t>
  </si>
  <si>
    <t>CPNS Arsiparis Ahli Pertama</t>
  </si>
  <si>
    <t>Winda Yulia, S.M</t>
  </si>
  <si>
    <t>199701022025042001</t>
  </si>
  <si>
    <t>Universitas Padjadjaran Bandung</t>
  </si>
  <si>
    <t>Universitas Widyatama Bandung</t>
  </si>
  <si>
    <t>Dicky Setiawan, S.Tr.Kom</t>
  </si>
  <si>
    <t>Pada Dinas Kependudukan dan Pencatatan Sipil Kabupaten Garut Tahun 2025</t>
  </si>
  <si>
    <t xml:space="preserve">NO </t>
  </si>
  <si>
    <t>Nama</t>
  </si>
  <si>
    <t>Nomor Induk PPPK</t>
  </si>
  <si>
    <t>Tempat Tanggal Lahir</t>
  </si>
  <si>
    <t>Jenis Kelamin</t>
  </si>
  <si>
    <t>Pendidikan Terakhir</t>
  </si>
  <si>
    <t>Pengangkatan PPPK</t>
  </si>
  <si>
    <t>Golongan</t>
  </si>
  <si>
    <t>Unit Kerja Terendah                                                            Bidang/subbag</t>
  </si>
  <si>
    <t>Uraian Tugas/Jabatan</t>
  </si>
  <si>
    <t>Tanggal/Bulan/Tahun</t>
  </si>
  <si>
    <t>Nomor</t>
  </si>
  <si>
    <t>4</t>
  </si>
  <si>
    <t>5</t>
  </si>
  <si>
    <t>9</t>
  </si>
  <si>
    <t>11</t>
  </si>
  <si>
    <t>Ade Irmansyah, S.Kom</t>
  </si>
  <si>
    <t>199605152023211006</t>
  </si>
  <si>
    <t>Bandung</t>
  </si>
  <si>
    <t>Laki-laki</t>
  </si>
  <si>
    <t>S.1 (Teknik Informatika)</t>
  </si>
  <si>
    <t>800.1.13.2/Kep.674-BKD/2023</t>
  </si>
  <si>
    <t>IX</t>
  </si>
  <si>
    <t>Bidang Pengelolaan Informasi Administrasi Kependudukan</t>
  </si>
  <si>
    <t>Asep Diki Irawan, A.Md.Kom</t>
  </si>
  <si>
    <t>198407302023211009</t>
  </si>
  <si>
    <t>Garut</t>
  </si>
  <si>
    <t>D.III (Teknik Informatika)</t>
  </si>
  <si>
    <t>VII</t>
  </si>
  <si>
    <t>Bidang Pelayanan Pencatatan Sipil</t>
  </si>
  <si>
    <t>Hendra Iman Suryaman, A.Md.Kom</t>
  </si>
  <si>
    <t>197907192023211003</t>
  </si>
  <si>
    <t>D.III (Komputer)</t>
  </si>
  <si>
    <t>Irwan Ginanjar, A.Md</t>
  </si>
  <si>
    <t>198405142023211010</t>
  </si>
  <si>
    <t>Yuli Yulianti, A.Md</t>
  </si>
  <si>
    <t>198407072023212033</t>
  </si>
  <si>
    <t>Perempuan</t>
  </si>
  <si>
    <t>Fery Muharam, A.Md.Kom</t>
  </si>
  <si>
    <t>198708262023211013</t>
  </si>
  <si>
    <t>Bidang Pelayanan Pendaftaran Penduduk</t>
  </si>
  <si>
    <t>Sofwan Hamdan Fikri, A.Md.Kom</t>
  </si>
  <si>
    <t>199211232023211007</t>
  </si>
  <si>
    <t>Lisna Prayatni, A.Md.Kom</t>
  </si>
  <si>
    <t>199003292023212028</t>
  </si>
  <si>
    <t>ST Soleha, S.Sos</t>
  </si>
  <si>
    <t>197112122023212007</t>
  </si>
  <si>
    <t>S.1 (Administrasi Negara)</t>
  </si>
  <si>
    <t>800.1.13.2/Kep.1048-BKD/2023</t>
  </si>
  <si>
    <t>Bidang Pemanfaatan Data dan Inovasi Pelayanan</t>
  </si>
  <si>
    <t>Analis Kebijakan Ahli Pertama</t>
  </si>
  <si>
    <t>Nina Yuliana, S.IP</t>
  </si>
  <si>
    <t xml:space="preserve">198607202023212049 </t>
  </si>
  <si>
    <t>S.1 (Ilmu Administrasi Negara)</t>
  </si>
  <si>
    <t>Sekretariat</t>
  </si>
  <si>
    <t>Analis Sumber Daya Manusia Aparatur Ahli Pertama</t>
  </si>
  <si>
    <t>Ratna Suminar Sunarya, ST</t>
  </si>
  <si>
    <t>197903172023212011</t>
  </si>
  <si>
    <t>Pranata Komputer Ahli Pertama</t>
  </si>
  <si>
    <t>Heri Koswara, S.IP</t>
  </si>
  <si>
    <t>197210132025211001</t>
  </si>
  <si>
    <t>S1 Ilmu Administrasi Negara</t>
  </si>
  <si>
    <t>800.1.2.5/Kep.443-BKD/2025</t>
  </si>
  <si>
    <t>Sub Bagian Umum dan Kepegawaian</t>
  </si>
  <si>
    <t>Penata Layanan Operasional</t>
  </si>
  <si>
    <t>Acep Cahyadi, S.IP</t>
  </si>
  <si>
    <t>197401202025211004</t>
  </si>
  <si>
    <t>Teguh Hari Darmawan, A.Md</t>
  </si>
  <si>
    <t>198305202025211008</t>
  </si>
  <si>
    <t>D.III Akuntansi</t>
  </si>
  <si>
    <t>Pengelola Layanan Operasional</t>
  </si>
  <si>
    <t>Gusman, A.Md</t>
  </si>
  <si>
    <t>198308192025211007</t>
  </si>
  <si>
    <t>D.III Administrasi Kepegawaian</t>
  </si>
  <si>
    <t>Anri Eka Rohadin, S.IP</t>
  </si>
  <si>
    <t>198701042025211003</t>
  </si>
  <si>
    <t>Sub Bagian Keuangan dan BMD</t>
  </si>
  <si>
    <t>Yosep Suryaman, S.IP</t>
  </si>
  <si>
    <t>197809142025211004</t>
  </si>
  <si>
    <t>Mohamad Saepulrohman,S.IP</t>
  </si>
  <si>
    <t>198308192025211008</t>
  </si>
  <si>
    <t>Mira Herawati</t>
  </si>
  <si>
    <t>198202092025212006</t>
  </si>
  <si>
    <t>V</t>
  </si>
  <si>
    <t>Operator Layanan Operasional</t>
  </si>
  <si>
    <t>Budiman Jaya Saepuloh</t>
  </si>
  <si>
    <t>198206182025211006</t>
  </si>
  <si>
    <t>SMA IPS</t>
  </si>
  <si>
    <t>Aang Endang Juhara</t>
  </si>
  <si>
    <t>198109302025211006</t>
  </si>
  <si>
    <t>Ai Susilawati</t>
  </si>
  <si>
    <t>198208072025212008</t>
  </si>
  <si>
    <t>Iwan Setiawan</t>
  </si>
  <si>
    <t>197807192025211003</t>
  </si>
  <si>
    <t>Popo Hartopo</t>
  </si>
  <si>
    <t>198306052025211016</t>
  </si>
  <si>
    <t>SMK Teknologi Pertanian</t>
  </si>
  <si>
    <t>Cucu Hermawan</t>
  </si>
  <si>
    <t>198605062025211001</t>
  </si>
  <si>
    <t>SMA IPA</t>
  </si>
  <si>
    <t>Indri Nurcahyani</t>
  </si>
  <si>
    <t>198410192025212007</t>
  </si>
  <si>
    <t>Agus Suhendar</t>
  </si>
  <si>
    <t>198106032025211006</t>
  </si>
  <si>
    <t>S1 Manajemen Ekonomi</t>
  </si>
  <si>
    <t>Mahmud Setiawan</t>
  </si>
  <si>
    <t>198312082025211006</t>
  </si>
  <si>
    <t>SMU IPS</t>
  </si>
  <si>
    <t>Anton Hartono</t>
  </si>
  <si>
    <t>197904112025211004</t>
  </si>
  <si>
    <t>Ayi Mulyadi</t>
  </si>
  <si>
    <t>198110052025211007</t>
  </si>
  <si>
    <t>D1 Informatika Komputer</t>
  </si>
  <si>
    <t>Agus Hermansyah, S.IP</t>
  </si>
  <si>
    <t>198411232025211011</t>
  </si>
  <si>
    <t>S1 Administrasi Negara</t>
  </si>
  <si>
    <t>Dede Sulaeman, S.IP</t>
  </si>
  <si>
    <t>197910102025211009</t>
  </si>
  <si>
    <t>Utep Nirwan Tahajudin</t>
  </si>
  <si>
    <t>197307022025211002</t>
  </si>
  <si>
    <t>Tasikmalaya</t>
  </si>
  <si>
    <t>Yadi Rahmat Mulyadi</t>
  </si>
  <si>
    <t>198209152025211006</t>
  </si>
  <si>
    <t>SMK Mesin Tenaga</t>
  </si>
  <si>
    <t>Irfan Firmansyah</t>
  </si>
  <si>
    <t>198310192025211003</t>
  </si>
  <si>
    <t>SMK Otomotif</t>
  </si>
  <si>
    <t>Nanang Saepudin</t>
  </si>
  <si>
    <t>197910082025211005</t>
  </si>
  <si>
    <t>SMK Bangunan Air</t>
  </si>
  <si>
    <t>Apid Supian</t>
  </si>
  <si>
    <t>197911192025211002</t>
  </si>
  <si>
    <t>SMK Listrik</t>
  </si>
  <si>
    <t>Umar Komarudin</t>
  </si>
  <si>
    <t>197607112025211004</t>
  </si>
  <si>
    <t>Paket C / SMA IPS</t>
  </si>
  <si>
    <t>Dadan Hamdani</t>
  </si>
  <si>
    <t>198207142025211009</t>
  </si>
  <si>
    <t>Ali Subarman</t>
  </si>
  <si>
    <t>198308092025211010</t>
  </si>
  <si>
    <t>Dodin Sutisna</t>
  </si>
  <si>
    <t>198210052025211005</t>
  </si>
  <si>
    <t>Yanti Sulastri</t>
  </si>
  <si>
    <t>198411302025212002</t>
  </si>
  <si>
    <t>SMK Sekretaris</t>
  </si>
  <si>
    <t>Deni Rahayu Wijaya</t>
  </si>
  <si>
    <t>198411282025211005</t>
  </si>
  <si>
    <t>Gungun Gunawan</t>
  </si>
  <si>
    <t>198108162025211004</t>
  </si>
  <si>
    <t>SMK Manajemen Bisnis</t>
  </si>
  <si>
    <t>Asep Ridwan Abana, S.Sos</t>
  </si>
  <si>
    <t>197703102025211003</t>
  </si>
  <si>
    <t>Sutiawan, S.Pd.I</t>
  </si>
  <si>
    <t>198306092025211007</t>
  </si>
  <si>
    <t>S1 Pendidikan Agama Islam</t>
  </si>
  <si>
    <t>Dini Haryani, S.IP</t>
  </si>
  <si>
    <t>198301102025212007</t>
  </si>
  <si>
    <t>Mustopa Kamil, SH</t>
  </si>
  <si>
    <t>199205172025211012</t>
  </si>
  <si>
    <t>S1 Hukum Tata Negara</t>
  </si>
  <si>
    <t xml:space="preserve">                        Kepala Dinas Kependudukan dan</t>
  </si>
  <si>
    <t xml:space="preserve">                        Pencatatan Sipil Kabupaten Garut,</t>
  </si>
  <si>
    <t xml:space="preserve">                        Drs. Natsir Alwi, M.Si</t>
  </si>
  <si>
    <t xml:space="preserve">                        NIP. 196708281993031006</t>
  </si>
  <si>
    <t>Ahmad Haris</t>
  </si>
  <si>
    <t>Ahmad Ridwan Hermawan Ana</t>
  </si>
  <si>
    <t>Ai Dahliawati, SE.Sy</t>
  </si>
  <si>
    <t>Ai Kurnianingsih, S.IP</t>
  </si>
  <si>
    <t>Alexiwi</t>
  </si>
  <si>
    <t>Apep Muhamad Santika, S.IP</t>
  </si>
  <si>
    <t>Asep Saepuloh</t>
  </si>
  <si>
    <t>Cecep Supriadi</t>
  </si>
  <si>
    <t>Eden Rustandi</t>
  </si>
  <si>
    <t>Linda Rostiana</t>
  </si>
  <si>
    <t>Mulyana, S.IP</t>
  </si>
  <si>
    <t>Nurdin Achmad Taufik</t>
  </si>
  <si>
    <t>Jakarta</t>
  </si>
  <si>
    <t>Padli Suswana</t>
  </si>
  <si>
    <t>Rahmat Munawar</t>
  </si>
  <si>
    <t>Rina Marlina</t>
  </si>
  <si>
    <t>Roswana, S.IP</t>
  </si>
  <si>
    <t>Tihman</t>
  </si>
  <si>
    <t>Welly Supriati, SE</t>
  </si>
  <si>
    <t>Wilu</t>
  </si>
  <si>
    <t>Sukoharjo</t>
  </si>
  <si>
    <t>Yoga Subagja</t>
  </si>
  <si>
    <t>Yogie Rahadian</t>
  </si>
  <si>
    <t>NO</t>
  </si>
  <si>
    <t>LAKI-LAKI</t>
  </si>
  <si>
    <t>PEREMPUAN</t>
  </si>
  <si>
    <t>PADA DINAS KEPENDUDUKAN DAN PENCATATAN SIPIL KABUPATEN GARUT</t>
  </si>
  <si>
    <t>PANGKAT/GOL.RUANG</t>
  </si>
  <si>
    <t>BANYAKNYA ( ORANG )</t>
  </si>
  <si>
    <t>NAMA JABATAN</t>
  </si>
  <si>
    <t>PEMBINA UTAMA MUDA, IV/c</t>
  </si>
  <si>
    <t>PEMBINA TINGKAT 1, IV/b</t>
  </si>
  <si>
    <t>ADMINISTRATOR</t>
  </si>
  <si>
    <t>PEMBINA, IV/a</t>
  </si>
  <si>
    <t>PENATA TINGKAT 1, III/d</t>
  </si>
  <si>
    <t>PENATA, III/c</t>
  </si>
  <si>
    <t>PENATA MUDA TINGKAT 1, III/b</t>
  </si>
  <si>
    <t>6 PELAKSANA</t>
  </si>
  <si>
    <t>PENATA MUDA, III/a</t>
  </si>
  <si>
    <t>PENGATUR TINGKAT 1, II/d</t>
  </si>
  <si>
    <t>5 PELAKSANA</t>
  </si>
  <si>
    <t>PENGATUR, II/c</t>
  </si>
  <si>
    <t>JUMLAH</t>
  </si>
  <si>
    <t>56 PEGAWAI NEGERI SIPIL</t>
  </si>
  <si>
    <t>GOLONGAN</t>
  </si>
  <si>
    <t>KETERANGAN</t>
  </si>
  <si>
    <t>IV</t>
  </si>
  <si>
    <t>PEGAWAI NEGERI SIPIL</t>
  </si>
  <si>
    <t>III</t>
  </si>
  <si>
    <t>II</t>
  </si>
  <si>
    <t>I</t>
  </si>
  <si>
    <t>NAMA ESELON</t>
  </si>
  <si>
    <t>II b</t>
  </si>
  <si>
    <t>KEPALA DINAS</t>
  </si>
  <si>
    <t>III a</t>
  </si>
  <si>
    <t>SEKRETARIS</t>
  </si>
  <si>
    <t>III b</t>
  </si>
  <si>
    <t>KEPALA BIDANG</t>
  </si>
  <si>
    <t>KASUBBAG</t>
  </si>
  <si>
    <t>JABATAN FUNGSIONAL (JF)</t>
  </si>
  <si>
    <t>JABATAN PELAKSANA</t>
  </si>
  <si>
    <t>TINGKAT PENDIDIKAN</t>
  </si>
  <si>
    <t>STRATA 3 (S.3)</t>
  </si>
  <si>
    <t>STRATA 2 (S.2)</t>
  </si>
  <si>
    <t>STRATA 1 (S.1)</t>
  </si>
  <si>
    <t>PEGAWAI NEGERI SIPIL/PPPK</t>
  </si>
  <si>
    <t>DIPLOMA III (D.3)</t>
  </si>
  <si>
    <t>DIPLOMA II (D.2)</t>
  </si>
  <si>
    <t>DIPLOMA I (D.1)</t>
  </si>
  <si>
    <t>SMU/SMK</t>
  </si>
  <si>
    <t>SMP</t>
  </si>
  <si>
    <t>JENIS KELAMIN</t>
  </si>
  <si>
    <t>STATUS PEGAWAI</t>
  </si>
  <si>
    <t>STATUS KEPEGAWAIAN</t>
  </si>
  <si>
    <t>STRUKTURAL</t>
  </si>
  <si>
    <t>FUNGSIONAL</t>
  </si>
  <si>
    <t>PELAKSANA</t>
  </si>
  <si>
    <t xml:space="preserve"> PEGAWAI NEGERI SIPIL</t>
  </si>
  <si>
    <t>PEGAWAI PEMERINTAH DENGAN PERJANJIAN KERJA</t>
  </si>
  <si>
    <t>SMK</t>
  </si>
  <si>
    <t>SLTA/Paket C</t>
  </si>
  <si>
    <t>SMU IPA</t>
  </si>
  <si>
    <t>SPP SPMA</t>
  </si>
  <si>
    <t>Madrasah Aliyah</t>
  </si>
  <si>
    <t>Garut, 01 Oktober 2025</t>
  </si>
  <si>
    <t>Engkus Kusmana, S.IP</t>
  </si>
  <si>
    <t>198204012025211026</t>
  </si>
  <si>
    <t>800.1.2.5/Kep.1224-BKD/2025</t>
  </si>
  <si>
    <t>1 FUNGSIONAL, 1 STRUKTURAL DAN 7 PELAKSANA</t>
  </si>
  <si>
    <t>6 FUNGSIONAL DAN 7  PELAKSANA</t>
  </si>
  <si>
    <t xml:space="preserve">9 FUNGSIONAL </t>
  </si>
  <si>
    <t>Plt.Kepala Dinas Kependudukan dan Pencatatan</t>
  </si>
  <si>
    <t>Sipil Kabupaten Garut,</t>
  </si>
  <si>
    <t>NIP. 19800219 201001 1 001</t>
  </si>
  <si>
    <t xml:space="preserve">                        Garut,      Oktober 2025</t>
  </si>
  <si>
    <t>Daftar Nominatif Pegawai Pemerintah dengan Perjanjian Kerja / PPPK Penuh Waktu</t>
  </si>
  <si>
    <t>Daftar Nominatif Pegawai Pemerintah dengan Perjanjian Kerja / PPPK Paruh Waktu</t>
  </si>
  <si>
    <t>Ai Mita Rahmawati, S.Ak</t>
  </si>
  <si>
    <t>Irfan Al Furqon, S.H.I</t>
  </si>
  <si>
    <t>Muhamad Sumarna, S.E</t>
  </si>
  <si>
    <t>Novi, S.Pd</t>
  </si>
  <si>
    <t>Imas Masripah, S.A.P</t>
  </si>
  <si>
    <t>Nenden Septiani, S.I.Kom</t>
  </si>
  <si>
    <t>Dadang Andika Eka Putra, S.I.Kom</t>
  </si>
  <si>
    <t>Wini Deniyanti, S.Pd</t>
  </si>
  <si>
    <t>Muhamad Rafi</t>
  </si>
  <si>
    <t>Mochamad Daris Darisman</t>
  </si>
  <si>
    <t>Agung Pramuji</t>
  </si>
  <si>
    <t>Pupu Abdul Latief</t>
  </si>
  <si>
    <t>Alfi Lavian</t>
  </si>
  <si>
    <t>Yusman Nuryadin</t>
  </si>
  <si>
    <t>Martha Subakti</t>
  </si>
  <si>
    <t>Yanti Patimah</t>
  </si>
  <si>
    <t>Rina Yuliani</t>
  </si>
  <si>
    <t>Bahrul Hayat</t>
  </si>
  <si>
    <t>Sri Dewi Nurhayati</t>
  </si>
  <si>
    <t>Atim Syaeful Milah</t>
  </si>
  <si>
    <t>Yadin Maulana</t>
  </si>
  <si>
    <t>Ardhi Muhamad Zakaria</t>
  </si>
  <si>
    <t>Sintawati</t>
  </si>
  <si>
    <t>Resi Nurmalasari</t>
  </si>
  <si>
    <t>Fauzi Ahmad Sauri</t>
  </si>
  <si>
    <t>Fikri Fadlika Hasan</t>
  </si>
  <si>
    <t>Randi Nurwandi</t>
  </si>
  <si>
    <t>Rizqy Arief Firmansyah</t>
  </si>
  <si>
    <t>Asep Trisna Juhara</t>
  </si>
  <si>
    <t>Deni Mardiana</t>
  </si>
  <si>
    <t>Jajang Iwan</t>
  </si>
  <si>
    <t>Rachmat Suhendar</t>
  </si>
  <si>
    <t>Dadang Rahmat</t>
  </si>
  <si>
    <t>Siska Amelia</t>
  </si>
  <si>
    <t>Wawan Setiawan</t>
  </si>
  <si>
    <t>Sigit Pratama, S.IP</t>
  </si>
  <si>
    <t>Ekky Permana, SE</t>
  </si>
  <si>
    <t>Ihat, SE</t>
  </si>
  <si>
    <t>Ervina Puji Astuti, S.IP</t>
  </si>
  <si>
    <t>Esa Hera Sandi, S.IP</t>
  </si>
  <si>
    <t>Isyak Muhammad Zukhruf, S.IP</t>
  </si>
  <si>
    <t>Taofik Moh Bahtiar, SE</t>
  </si>
  <si>
    <t>Fanny Silviani Yasminiar, SE</t>
  </si>
  <si>
    <t>Wasiah, SE</t>
  </si>
  <si>
    <t>Diana Safari, S.IP</t>
  </si>
  <si>
    <t xml:space="preserve">Bidang Pelayanan Pendaftaran Penduduk </t>
  </si>
  <si>
    <t xml:space="preserve">Bidang Pelayanan Pencatatan Sipil </t>
  </si>
  <si>
    <t xml:space="preserve">Bidang Pengelolaan Informasi Administrasi Kependudukan </t>
  </si>
  <si>
    <t xml:space="preserve">S-1 </t>
  </si>
  <si>
    <t>Akuntansi</t>
  </si>
  <si>
    <t>Ilmu Administrasi Negara</t>
  </si>
  <si>
    <t>Ekonomi</t>
  </si>
  <si>
    <t>Ekonomi Manajemen</t>
  </si>
  <si>
    <t>S-1</t>
  </si>
  <si>
    <t>Muamalah/Syariah</t>
  </si>
  <si>
    <t xml:space="preserve"> Ilmu Administrasi Negara</t>
  </si>
  <si>
    <t>Ilmu Administrasi negara</t>
  </si>
  <si>
    <t>Manajemen</t>
  </si>
  <si>
    <t>PGMI</t>
  </si>
  <si>
    <t>Ekonomi Syariah</t>
  </si>
  <si>
    <t>Administrasi Publik</t>
  </si>
  <si>
    <t>Ilmu Komunikasi</t>
  </si>
  <si>
    <t>Manajemen Ekonomi</t>
  </si>
  <si>
    <t>S.1</t>
  </si>
  <si>
    <t xml:space="preserve">S.1 </t>
  </si>
  <si>
    <t>Pendidikan</t>
  </si>
  <si>
    <t xml:space="preserve">SMK </t>
  </si>
  <si>
    <t>Otomatisasi dan Tata Kelola Perkantoran</t>
  </si>
  <si>
    <t>IPA</t>
  </si>
  <si>
    <t>Teknik Otomotif</t>
  </si>
  <si>
    <t>SMKN</t>
  </si>
  <si>
    <t>Pariwisata</t>
  </si>
  <si>
    <t>SMA/Paket C</t>
  </si>
  <si>
    <t>IPS</t>
  </si>
  <si>
    <t>Rekayasa Perangkat Lunak</t>
  </si>
  <si>
    <t>Teknik Mesin Perkakas</t>
  </si>
  <si>
    <t>Mekanik Otomotif</t>
  </si>
  <si>
    <t>Teknik Kendaraan Ringan</t>
  </si>
  <si>
    <t>Teknik Otomotif Kendaraan Ringan</t>
  </si>
  <si>
    <t xml:space="preserve">SLTA </t>
  </si>
  <si>
    <t>SMT</t>
  </si>
  <si>
    <t>Pertanian</t>
  </si>
  <si>
    <t>Bangunan Air</t>
  </si>
  <si>
    <t>KEADAAN JANUARI 2026</t>
  </si>
  <si>
    <t>Hengky Paice Hermansyah, S.Sos., M.M</t>
  </si>
  <si>
    <t>19840624 201101 1 001</t>
  </si>
  <si>
    <t>Penelaah Teknis Kebijakan</t>
  </si>
  <si>
    <t>Penyusun Rencana Kegiatan dan Anggaran</t>
  </si>
  <si>
    <t>Pengolah Data dan Informasi</t>
  </si>
  <si>
    <t>Pengadministrasi Perkantoran</t>
  </si>
  <si>
    <t>11 FUNGSIONAL, 1 STRUKTURAL dan 1 PELAKSANA</t>
  </si>
  <si>
    <t>1.DAFTAR NOMINATIF PEGAWAI NEGERI SIPIL ( PNS ) BERDASARKAN PANGKAT/GOL.RUANG SAMPAI DENGAN BULAN JANUARI 2026</t>
  </si>
  <si>
    <t>2. DAFTAR NOMINATIF  PEGAWAI NEGERI SIPIL BERDASARKAN GOLONGAN SAMPAI DENGAN BULAN JANUARI 2026</t>
  </si>
  <si>
    <t>3. DAFTAR NOMINATIF PNS BERDASARKAN ESELONERING ( PANGKAT DALAM JABATAN ) SAMPAI DENGAN BULAN JANUARI 2026</t>
  </si>
  <si>
    <t>6 ORANG ESELONERING DAN 50 ORANG NON ESELONERING</t>
  </si>
  <si>
    <t>4. DAFTAR NOMINATIF PEGAWAI NEGERI SIPIL ( PNS ) BERDASARKAN PENDIDIKAN SAMPAI DENGAN BULAN JANUARI 2026</t>
  </si>
  <si>
    <t>5. DAFTAR NOMINATIF PNS BERDASARKAN JENIS KELAMIN SAMPAI DENGAN BULAN JANUARI 2026</t>
  </si>
  <si>
    <t>6. REKAP PEGAWAI BERDASARKAN STATUS KEPEGAWAIAN  SAMPAI DENGAN BULAN JANUARI 2026</t>
  </si>
  <si>
    <t xml:space="preserve">171 ORANG PEGAWAI </t>
  </si>
  <si>
    <t>Dadang Kusdani, S.Sos</t>
  </si>
  <si>
    <t>PPPK PENUH WAKTU</t>
  </si>
  <si>
    <t>PPPK PARUH WAKTU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</si>
</sst>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4" formatCode="_-* #,##0_-;\-* #,##0_-;_-* &quot;-&quot;_-;_-@_-"/>
    <numFmt numFmtId="165" formatCode="dd\-mm\-yyyy"/>
    <numFmt numFmtId="166" formatCode="[$-409]d/mmm/yyyy;@"/>
    <numFmt numFmtId="167" formatCode="[$-421]dd\ mmmm\ yyyy;@"/>
    <numFmt numFmtId="168" formatCode="[$-F800]dddd\,\ mmmm\ dd\,\ yyyy"/>
    <numFmt numFmtId="169" formatCode="#,##0.00;[Red]#,##0.00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0"/>
      <name val="Arial"/>
      <family val="2"/>
    </font>
    <font>
      <sz val="8"/>
      <color theme="1"/>
      <name val="Arial"/>
      <family val="2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mbria"/>
      <family val="1"/>
      <scheme val="major"/>
    </font>
    <font>
      <sz val="8"/>
      <name val="Calibri"/>
      <family val="2"/>
      <scheme val="minor"/>
    </font>
    <font>
      <sz val="7"/>
      <color theme="1"/>
      <name val="Arial"/>
      <family val="2"/>
    </font>
    <font>
      <sz val="7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2"/>
      <color theme="1"/>
      <name val="Arial"/>
      <family val="2"/>
    </font>
    <font>
      <b/>
      <sz val="9"/>
      <color theme="1"/>
      <name val="Cambria"/>
      <family val="1"/>
      <scheme val="maj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1"/>
      <color theme="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E8F0FE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</borders>
  <cellStyleXfs count="13">
    <xf numFmtId="0" fontId="0" fillId="0" borderId="0"/>
    <xf numFmtId="0" fontId="6" fillId="0" borderId="0"/>
    <xf numFmtId="0" fontId="7" fillId="0" borderId="0"/>
    <xf numFmtId="0" fontId="5" fillId="0" borderId="0"/>
    <xf numFmtId="164" fontId="14" fillId="0" borderId="0" applyFont="0" applyFill="0" applyBorder="0" applyAlignment="0" applyProtection="0"/>
    <xf numFmtId="0" fontId="4" fillId="0" borderId="0"/>
    <xf numFmtId="0" fontId="19" fillId="0" borderId="0"/>
    <xf numFmtId="0" fontId="3" fillId="0" borderId="0"/>
    <xf numFmtId="0" fontId="3" fillId="0" borderId="0"/>
    <xf numFmtId="0" fontId="2" fillId="0" borderId="0"/>
    <xf numFmtId="0" fontId="1" fillId="0" borderId="0"/>
    <xf numFmtId="0" fontId="1" fillId="0" borderId="0"/>
    <xf numFmtId="0" fontId="28" fillId="0" borderId="0"/>
  </cellStyleXfs>
  <cellXfs count="288">
    <xf numFmtId="0" fontId="0" fillId="0" borderId="0" xfId="0"/>
    <xf numFmtId="0" fontId="9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2" borderId="0" xfId="0" applyFont="1" applyFill="1" applyAlignment="1">
      <alignment horizontal="left" vertical="center"/>
    </xf>
    <xf numFmtId="0" fontId="9" fillId="0" borderId="0" xfId="0" applyFont="1" applyAlignment="1">
      <alignment horizontal="center" vertical="center"/>
    </xf>
    <xf numFmtId="167" fontId="9" fillId="0" borderId="0" xfId="0" applyNumberFormat="1" applyFont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167" fontId="9" fillId="0" borderId="0" xfId="0" applyNumberFormat="1" applyFont="1" applyAlignment="1">
      <alignment horizontal="left" vertical="center"/>
    </xf>
    <xf numFmtId="0" fontId="17" fillId="2" borderId="0" xfId="0" applyFont="1" applyFill="1" applyAlignment="1">
      <alignment horizontal="center" vertical="center" wrapText="1"/>
    </xf>
    <xf numFmtId="0" fontId="9" fillId="0" borderId="0" xfId="9" applyFont="1"/>
    <xf numFmtId="0" fontId="10" fillId="0" borderId="0" xfId="9" applyFont="1" applyAlignment="1">
      <alignment horizontal="center"/>
    </xf>
    <xf numFmtId="167" fontId="10" fillId="0" borderId="0" xfId="9" applyNumberFormat="1" applyFont="1" applyAlignment="1">
      <alignment horizontal="center"/>
    </xf>
    <xf numFmtId="0" fontId="10" fillId="0" borderId="0" xfId="9" applyFont="1"/>
    <xf numFmtId="167" fontId="10" fillId="0" borderId="0" xfId="9" applyNumberFormat="1" applyFont="1"/>
    <xf numFmtId="0" fontId="9" fillId="0" borderId="0" xfId="9" applyFont="1" applyAlignment="1">
      <alignment horizontal="center"/>
    </xf>
    <xf numFmtId="0" fontId="9" fillId="0" borderId="0" xfId="9" applyFont="1" applyAlignment="1">
      <alignment horizontal="center" vertical="center"/>
    </xf>
    <xf numFmtId="0" fontId="10" fillId="0" borderId="3" xfId="9" applyFont="1" applyBorder="1" applyAlignment="1">
      <alignment horizontal="center" vertical="center" wrapText="1"/>
    </xf>
    <xf numFmtId="0" fontId="10" fillId="0" borderId="3" xfId="9" applyFont="1" applyBorder="1" applyAlignment="1">
      <alignment horizontal="center" vertical="center"/>
    </xf>
    <xf numFmtId="0" fontId="10" fillId="0" borderId="6" xfId="9" applyFont="1" applyBorder="1" applyAlignment="1">
      <alignment horizontal="center" vertical="center"/>
    </xf>
    <xf numFmtId="0" fontId="9" fillId="0" borderId="6" xfId="9" applyFont="1" applyBorder="1" applyAlignment="1">
      <alignment horizontal="center" vertical="center" wrapText="1"/>
    </xf>
    <xf numFmtId="0" fontId="9" fillId="0" borderId="6" xfId="9" applyFont="1" applyBorder="1" applyAlignment="1">
      <alignment horizontal="center" vertical="center"/>
    </xf>
    <xf numFmtId="0" fontId="9" fillId="0" borderId="8" xfId="9" applyFont="1" applyBorder="1" applyAlignment="1">
      <alignment horizontal="center" vertical="center" wrapText="1"/>
    </xf>
    <xf numFmtId="0" fontId="9" fillId="0" borderId="2" xfId="9" applyFont="1" applyBorder="1" applyAlignment="1">
      <alignment horizontal="center" vertical="center"/>
    </xf>
    <xf numFmtId="0" fontId="9" fillId="0" borderId="3" xfId="9" applyFont="1" applyBorder="1" applyAlignment="1">
      <alignment horizontal="center" vertical="center"/>
    </xf>
    <xf numFmtId="0" fontId="9" fillId="0" borderId="1" xfId="9" applyFont="1" applyBorder="1" applyAlignment="1">
      <alignment horizontal="center" vertical="center"/>
    </xf>
    <xf numFmtId="0" fontId="9" fillId="0" borderId="0" xfId="9" applyFont="1" applyAlignment="1">
      <alignment horizontal="center" vertical="center" wrapText="1"/>
    </xf>
    <xf numFmtId="0" fontId="9" fillId="0" borderId="0" xfId="9" applyFont="1" applyAlignment="1">
      <alignment horizontal="left" vertical="center" wrapText="1"/>
    </xf>
    <xf numFmtId="167" fontId="9" fillId="0" borderId="0" xfId="9" quotePrefix="1" applyNumberFormat="1" applyFont="1" applyAlignment="1">
      <alignment horizontal="center" vertical="center"/>
    </xf>
    <xf numFmtId="0" fontId="12" fillId="0" borderId="0" xfId="9" applyFont="1" applyAlignment="1">
      <alignment horizontal="center" vertical="center" wrapText="1"/>
    </xf>
    <xf numFmtId="1" fontId="12" fillId="0" borderId="0" xfId="9" applyNumberFormat="1" applyFont="1" applyAlignment="1">
      <alignment horizontal="center" vertical="center"/>
    </xf>
    <xf numFmtId="0" fontId="9" fillId="2" borderId="0" xfId="9" applyFont="1" applyFill="1" applyAlignment="1">
      <alignment horizontal="center" vertical="center"/>
    </xf>
    <xf numFmtId="0" fontId="18" fillId="0" borderId="0" xfId="9" applyFont="1" applyAlignment="1">
      <alignment horizontal="center" vertical="center" wrapText="1"/>
    </xf>
    <xf numFmtId="165" fontId="9" fillId="0" borderId="0" xfId="9" applyNumberFormat="1" applyFont="1"/>
    <xf numFmtId="167" fontId="9" fillId="0" borderId="0" xfId="9" applyNumberFormat="1" applyFont="1"/>
    <xf numFmtId="0" fontId="9" fillId="0" borderId="0" xfId="7" applyFont="1" applyAlignment="1">
      <alignment vertical="center"/>
    </xf>
    <xf numFmtId="0" fontId="9" fillId="0" borderId="0" xfId="7" applyFont="1" applyAlignment="1">
      <alignment horizontal="center" vertical="center"/>
    </xf>
    <xf numFmtId="167" fontId="9" fillId="0" borderId="0" xfId="7" applyNumberFormat="1" applyFont="1" applyAlignment="1">
      <alignment vertical="center"/>
    </xf>
    <xf numFmtId="165" fontId="9" fillId="0" borderId="0" xfId="7" applyNumberFormat="1" applyFont="1"/>
    <xf numFmtId="0" fontId="9" fillId="0" borderId="0" xfId="7" applyFont="1"/>
    <xf numFmtId="0" fontId="14" fillId="0" borderId="0" xfId="7" applyFont="1" applyAlignment="1">
      <alignment vertical="center"/>
    </xf>
    <xf numFmtId="0" fontId="14" fillId="0" borderId="0" xfId="7" applyFont="1" applyAlignment="1">
      <alignment horizontal="center" vertical="center"/>
    </xf>
    <xf numFmtId="0" fontId="0" fillId="0" borderId="0" xfId="7" applyFont="1" applyAlignment="1">
      <alignment vertical="center"/>
    </xf>
    <xf numFmtId="0" fontId="0" fillId="0" borderId="0" xfId="7" applyFont="1" applyAlignment="1">
      <alignment horizontal="center" vertical="center"/>
    </xf>
    <xf numFmtId="0" fontId="9" fillId="0" borderId="0" xfId="3" applyFont="1"/>
    <xf numFmtId="167" fontId="9" fillId="0" borderId="0" xfId="7" applyNumberFormat="1" applyFont="1"/>
    <xf numFmtId="0" fontId="12" fillId="0" borderId="0" xfId="11" applyFont="1"/>
    <xf numFmtId="0" fontId="21" fillId="0" borderId="0" xfId="11" applyFont="1" applyAlignment="1">
      <alignment horizontal="center"/>
    </xf>
    <xf numFmtId="49" fontId="21" fillId="0" borderId="0" xfId="11" applyNumberFormat="1" applyFont="1" applyAlignment="1">
      <alignment horizontal="center"/>
    </xf>
    <xf numFmtId="168" fontId="21" fillId="0" borderId="0" xfId="11" applyNumberFormat="1" applyFont="1" applyAlignment="1">
      <alignment horizontal="center"/>
    </xf>
    <xf numFmtId="0" fontId="22" fillId="0" borderId="1" xfId="11" applyFont="1" applyBorder="1" applyAlignment="1">
      <alignment horizontal="center" vertical="center" wrapText="1"/>
    </xf>
    <xf numFmtId="49" fontId="22" fillId="0" borderId="1" xfId="11" applyNumberFormat="1" applyFont="1" applyBorder="1" applyAlignment="1">
      <alignment horizontal="center" vertical="center" wrapText="1"/>
    </xf>
    <xf numFmtId="0" fontId="12" fillId="0" borderId="0" xfId="11" applyFont="1" applyAlignment="1">
      <alignment horizontal="center"/>
    </xf>
    <xf numFmtId="0" fontId="22" fillId="0" borderId="6" xfId="11" applyFont="1" applyBorder="1" applyAlignment="1">
      <alignment horizontal="center" vertical="center" wrapText="1"/>
    </xf>
    <xf numFmtId="0" fontId="22" fillId="0" borderId="7" xfId="11" applyFont="1" applyBorder="1" applyAlignment="1">
      <alignment horizontal="center" vertical="center" wrapText="1"/>
    </xf>
    <xf numFmtId="49" fontId="22" fillId="0" borderId="8" xfId="11" applyNumberFormat="1" applyFont="1" applyBorder="1" applyAlignment="1">
      <alignment horizontal="center" vertical="center" wrapText="1"/>
    </xf>
    <xf numFmtId="49" fontId="22" fillId="0" borderId="6" xfId="11" applyNumberFormat="1" applyFont="1" applyBorder="1" applyAlignment="1">
      <alignment horizontal="center" vertical="center" wrapText="1"/>
    </xf>
    <xf numFmtId="0" fontId="23" fillId="0" borderId="6" xfId="11" applyFont="1" applyBorder="1" applyAlignment="1">
      <alignment horizontal="center" vertical="center" wrapText="1"/>
    </xf>
    <xf numFmtId="0" fontId="23" fillId="2" borderId="6" xfId="0" applyFont="1" applyFill="1" applyBorder="1" applyAlignment="1">
      <alignment horizontal="left" vertical="center"/>
    </xf>
    <xf numFmtId="49" fontId="23" fillId="2" borderId="7" xfId="0" applyNumberFormat="1" applyFont="1" applyFill="1" applyBorder="1" applyAlignment="1">
      <alignment horizontal="center" vertical="center"/>
    </xf>
    <xf numFmtId="49" fontId="23" fillId="0" borderId="7" xfId="0" quotePrefix="1" applyNumberFormat="1" applyFont="1" applyBorder="1" applyAlignment="1">
      <alignment horizontal="center" vertical="center" wrapText="1"/>
    </xf>
    <xf numFmtId="167" fontId="23" fillId="3" borderId="6" xfId="0" applyNumberFormat="1" applyFont="1" applyFill="1" applyBorder="1" applyAlignment="1">
      <alignment horizontal="center" vertical="center"/>
    </xf>
    <xf numFmtId="0" fontId="23" fillId="3" borderId="15" xfId="0" applyFont="1" applyFill="1" applyBorder="1" applyAlignment="1">
      <alignment horizontal="left" vertical="center"/>
    </xf>
    <xf numFmtId="167" fontId="23" fillId="0" borderId="6" xfId="11" quotePrefix="1" applyNumberFormat="1" applyFont="1" applyBorder="1" applyAlignment="1">
      <alignment horizontal="center" vertical="center"/>
    </xf>
    <xf numFmtId="49" fontId="23" fillId="0" borderId="6" xfId="11" quotePrefix="1" applyNumberFormat="1" applyFont="1" applyBorder="1" applyAlignment="1">
      <alignment horizontal="center" vertical="center"/>
    </xf>
    <xf numFmtId="1" fontId="23" fillId="0" borderId="6" xfId="11" quotePrefix="1" applyNumberFormat="1" applyFont="1" applyBorder="1" applyAlignment="1">
      <alignment horizontal="left" vertical="center" wrapText="1"/>
    </xf>
    <xf numFmtId="0" fontId="23" fillId="3" borderId="16" xfId="0" applyFont="1" applyFill="1" applyBorder="1" applyAlignment="1">
      <alignment horizontal="left" vertical="center"/>
    </xf>
    <xf numFmtId="0" fontId="23" fillId="2" borderId="6" xfId="0" applyFont="1" applyFill="1" applyBorder="1" applyAlignment="1">
      <alignment vertical="center"/>
    </xf>
    <xf numFmtId="0" fontId="23" fillId="2" borderId="6" xfId="11" applyFont="1" applyFill="1" applyBorder="1" applyAlignment="1">
      <alignment horizontal="left" vertical="center" wrapText="1"/>
    </xf>
    <xf numFmtId="49" fontId="23" fillId="2" borderId="7" xfId="11" applyNumberFormat="1" applyFont="1" applyFill="1" applyBorder="1" applyAlignment="1">
      <alignment horizontal="center" vertical="center" wrapText="1"/>
    </xf>
    <xf numFmtId="49" fontId="23" fillId="0" borderId="7" xfId="11" applyNumberFormat="1" applyFont="1" applyBorder="1" applyAlignment="1">
      <alignment horizontal="center" vertical="center" wrapText="1"/>
    </xf>
    <xf numFmtId="167" fontId="23" fillId="4" borderId="6" xfId="0" applyNumberFormat="1" applyFont="1" applyFill="1" applyBorder="1" applyAlignment="1">
      <alignment horizontal="center" vertical="center"/>
    </xf>
    <xf numFmtId="49" fontId="23" fillId="0" borderId="7" xfId="0" applyNumberFormat="1" applyFont="1" applyBorder="1" applyAlignment="1">
      <alignment horizontal="center" vertical="center" wrapText="1"/>
    </xf>
    <xf numFmtId="49" fontId="12" fillId="0" borderId="0" xfId="11" applyNumberFormat="1" applyFont="1" applyAlignment="1">
      <alignment horizontal="center" vertical="center" wrapText="1"/>
    </xf>
    <xf numFmtId="168" fontId="12" fillId="0" borderId="0" xfId="11" applyNumberFormat="1" applyFont="1" applyAlignment="1">
      <alignment horizontal="center"/>
    </xf>
    <xf numFmtId="49" fontId="12" fillId="0" borderId="0" xfId="11" applyNumberFormat="1" applyFont="1" applyAlignment="1">
      <alignment horizontal="center" vertical="center"/>
    </xf>
    <xf numFmtId="0" fontId="24" fillId="0" borderId="0" xfId="11" applyFont="1" applyAlignment="1">
      <alignment horizontal="left" vertical="center"/>
    </xf>
    <xf numFmtId="0" fontId="12" fillId="0" borderId="0" xfId="11" applyFont="1" applyAlignment="1">
      <alignment horizontal="left" vertical="center"/>
    </xf>
    <xf numFmtId="1" fontId="12" fillId="0" borderId="0" xfId="11" applyNumberFormat="1" applyFont="1" applyAlignment="1">
      <alignment horizontal="center" vertical="center"/>
    </xf>
    <xf numFmtId="2" fontId="12" fillId="0" borderId="0" xfId="11" applyNumberFormat="1" applyFont="1" applyAlignment="1">
      <alignment horizontal="center" vertical="center"/>
    </xf>
    <xf numFmtId="0" fontId="12" fillId="0" borderId="0" xfId="1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0" borderId="6" xfId="0" applyBorder="1" applyAlignment="1">
      <alignment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/>
    </xf>
    <xf numFmtId="0" fontId="11" fillId="0" borderId="8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25" fillId="0" borderId="0" xfId="0" applyFont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6" xfId="0" quotePrefix="1" applyBorder="1" applyAlignment="1">
      <alignment horizontal="center" vertical="center"/>
    </xf>
    <xf numFmtId="169" fontId="11" fillId="2" borderId="6" xfId="0" applyNumberFormat="1" applyFont="1" applyFill="1" applyBorder="1" applyAlignment="1">
      <alignment horizontal="center" vertical="center"/>
    </xf>
    <xf numFmtId="0" fontId="0" fillId="0" borderId="10" xfId="0" applyBorder="1"/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vertical="center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/>
    </xf>
    <xf numFmtId="0" fontId="25" fillId="0" borderId="0" xfId="0" applyFont="1"/>
    <xf numFmtId="0" fontId="23" fillId="0" borderId="0" xfId="11" applyFont="1" applyAlignment="1">
      <alignment horizontal="center" vertical="center" wrapText="1"/>
    </xf>
    <xf numFmtId="0" fontId="23" fillId="2" borderId="0" xfId="0" applyFont="1" applyFill="1" applyAlignment="1">
      <alignment horizontal="left" vertical="center"/>
    </xf>
    <xf numFmtId="49" fontId="23" fillId="2" borderId="0" xfId="0" applyNumberFormat="1" applyFont="1" applyFill="1" applyAlignment="1">
      <alignment horizontal="center" vertical="center"/>
    </xf>
    <xf numFmtId="49" fontId="23" fillId="0" borderId="0" xfId="0" quotePrefix="1" applyNumberFormat="1" applyFont="1" applyAlignment="1">
      <alignment horizontal="center" vertical="center" wrapText="1"/>
    </xf>
    <xf numFmtId="167" fontId="23" fillId="3" borderId="0" xfId="0" applyNumberFormat="1" applyFont="1" applyFill="1" applyAlignment="1">
      <alignment horizontal="center" vertical="center"/>
    </xf>
    <xf numFmtId="0" fontId="23" fillId="3" borderId="0" xfId="0" applyFont="1" applyFill="1" applyAlignment="1">
      <alignment horizontal="left" vertical="center"/>
    </xf>
    <xf numFmtId="167" fontId="23" fillId="0" borderId="0" xfId="11" quotePrefix="1" applyNumberFormat="1" applyFont="1" applyAlignment="1">
      <alignment horizontal="center" vertical="center"/>
    </xf>
    <xf numFmtId="49" fontId="23" fillId="0" borderId="0" xfId="11" quotePrefix="1" applyNumberFormat="1" applyFont="1" applyAlignment="1">
      <alignment horizontal="center" vertical="center"/>
    </xf>
    <xf numFmtId="1" fontId="23" fillId="0" borderId="0" xfId="11" quotePrefix="1" applyNumberFormat="1" applyFont="1" applyAlignment="1">
      <alignment horizontal="left" vertical="center" wrapText="1"/>
    </xf>
    <xf numFmtId="0" fontId="23" fillId="2" borderId="6" xfId="0" applyFont="1" applyFill="1" applyBorder="1" applyAlignment="1">
      <alignment horizontal="left" vertical="center" wrapText="1"/>
    </xf>
    <xf numFmtId="0" fontId="23" fillId="3" borderId="8" xfId="0" applyFont="1" applyFill="1" applyBorder="1" applyAlignment="1">
      <alignment horizontal="left" vertical="center"/>
    </xf>
    <xf numFmtId="0" fontId="23" fillId="2" borderId="8" xfId="0" applyFont="1" applyFill="1" applyBorder="1" applyAlignment="1">
      <alignment horizontal="left" vertical="center"/>
    </xf>
    <xf numFmtId="167" fontId="23" fillId="2" borderId="6" xfId="0" applyNumberFormat="1" applyFont="1" applyFill="1" applyBorder="1" applyAlignment="1">
      <alignment horizontal="left" vertical="center"/>
    </xf>
    <xf numFmtId="167" fontId="21" fillId="0" borderId="0" xfId="11" applyNumberFormat="1" applyFont="1" applyAlignment="1">
      <alignment horizontal="center"/>
    </xf>
    <xf numFmtId="167" fontId="12" fillId="0" borderId="0" xfId="11" applyNumberFormat="1" applyFont="1" applyAlignment="1">
      <alignment horizontal="center"/>
    </xf>
    <xf numFmtId="0" fontId="23" fillId="2" borderId="7" xfId="0" applyFont="1" applyFill="1" applyBorder="1" applyAlignment="1">
      <alignment horizontal="center" vertical="center" wrapText="1"/>
    </xf>
    <xf numFmtId="0" fontId="23" fillId="3" borderId="17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left" vertical="center"/>
    </xf>
    <xf numFmtId="0" fontId="23" fillId="3" borderId="7" xfId="0" applyFont="1" applyFill="1" applyBorder="1" applyAlignment="1">
      <alignment horizontal="center" vertical="center" wrapText="1"/>
    </xf>
    <xf numFmtId="0" fontId="23" fillId="2" borderId="17" xfId="0" applyFont="1" applyFill="1" applyBorder="1" applyAlignment="1">
      <alignment horizontal="center" vertical="center" wrapText="1"/>
    </xf>
    <xf numFmtId="0" fontId="9" fillId="2" borderId="6" xfId="9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18" fillId="0" borderId="1" xfId="9" applyFont="1" applyBorder="1" applyAlignment="1">
      <alignment horizontal="center" vertical="center" wrapText="1"/>
    </xf>
    <xf numFmtId="0" fontId="18" fillId="0" borderId="3" xfId="9" applyFont="1" applyBorder="1" applyAlignment="1">
      <alignment horizontal="center" vertical="center" wrapText="1"/>
    </xf>
    <xf numFmtId="0" fontId="9" fillId="0" borderId="1" xfId="9" quotePrefix="1" applyFont="1" applyBorder="1" applyAlignment="1">
      <alignment horizontal="center" vertical="center"/>
    </xf>
    <xf numFmtId="0" fontId="9" fillId="0" borderId="3" xfId="9" quotePrefix="1" applyFont="1" applyBorder="1" applyAlignment="1">
      <alignment horizontal="center" vertical="center"/>
    </xf>
    <xf numFmtId="0" fontId="9" fillId="0" borderId="3" xfId="9" applyFont="1" applyBorder="1" applyAlignment="1">
      <alignment horizontal="center" vertical="center" wrapText="1"/>
    </xf>
    <xf numFmtId="0" fontId="9" fillId="0" borderId="6" xfId="9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167" fontId="9" fillId="2" borderId="1" xfId="9" applyNumberFormat="1" applyFont="1" applyFill="1" applyBorder="1" applyAlignment="1">
      <alignment horizontal="center" vertical="center"/>
    </xf>
    <xf numFmtId="167" fontId="9" fillId="2" borderId="3" xfId="9" applyNumberFormat="1" applyFont="1" applyFill="1" applyBorder="1" applyAlignment="1">
      <alignment horizontal="center" vertical="center"/>
    </xf>
    <xf numFmtId="0" fontId="9" fillId="0" borderId="1" xfId="9" applyFont="1" applyBorder="1" applyAlignment="1">
      <alignment horizontal="left" vertical="center" wrapText="1"/>
    </xf>
    <xf numFmtId="0" fontId="9" fillId="0" borderId="3" xfId="9" applyFont="1" applyBorder="1" applyAlignment="1">
      <alignment horizontal="left" vertical="center" wrapText="1"/>
    </xf>
    <xf numFmtId="167" fontId="9" fillId="0" borderId="1" xfId="9" quotePrefix="1" applyNumberFormat="1" applyFont="1" applyBorder="1" applyAlignment="1">
      <alignment horizontal="center" vertical="center"/>
    </xf>
    <xf numFmtId="167" fontId="9" fillId="0" borderId="3" xfId="9" quotePrefix="1" applyNumberFormat="1" applyFont="1" applyBorder="1" applyAlignment="1">
      <alignment horizontal="center" vertical="center"/>
    </xf>
    <xf numFmtId="0" fontId="9" fillId="2" borderId="1" xfId="9" applyFont="1" applyFill="1" applyBorder="1" applyAlignment="1">
      <alignment horizontal="center" vertical="center" wrapText="1"/>
    </xf>
    <xf numFmtId="0" fontId="9" fillId="2" borderId="3" xfId="9" applyFont="1" applyFill="1" applyBorder="1" applyAlignment="1">
      <alignment horizontal="center" vertical="center" wrapText="1"/>
    </xf>
    <xf numFmtId="0" fontId="18" fillId="2" borderId="1" xfId="9" quotePrefix="1" applyFont="1" applyFill="1" applyBorder="1" applyAlignment="1">
      <alignment horizontal="center" vertical="center"/>
    </xf>
    <xf numFmtId="0" fontId="18" fillId="2" borderId="3" xfId="9" applyFont="1" applyFill="1" applyBorder="1" applyAlignment="1">
      <alignment horizontal="center" vertical="center"/>
    </xf>
    <xf numFmtId="0" fontId="9" fillId="2" borderId="1" xfId="9" quotePrefix="1" applyFont="1" applyFill="1" applyBorder="1" applyAlignment="1">
      <alignment horizontal="center" vertical="center"/>
    </xf>
    <xf numFmtId="0" fontId="9" fillId="2" borderId="3" xfId="9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 wrapText="1"/>
    </xf>
    <xf numFmtId="0" fontId="17" fillId="2" borderId="3" xfId="0" applyFont="1" applyFill="1" applyBorder="1" applyAlignment="1">
      <alignment horizontal="center" vertical="center" wrapText="1"/>
    </xf>
    <xf numFmtId="0" fontId="9" fillId="0" borderId="3" xfId="9" applyFont="1" applyBorder="1" applyAlignment="1">
      <alignment horizontal="center" vertical="center"/>
    </xf>
    <xf numFmtId="0" fontId="9" fillId="2" borderId="1" xfId="0" applyFont="1" applyFill="1" applyBorder="1" applyAlignment="1">
      <alignment horizontal="left" vertical="center"/>
    </xf>
    <xf numFmtId="0" fontId="9" fillId="2" borderId="3" xfId="0" applyFont="1" applyFill="1" applyBorder="1" applyAlignment="1">
      <alignment horizontal="left" vertical="center"/>
    </xf>
    <xf numFmtId="0" fontId="9" fillId="0" borderId="1" xfId="0" quotePrefix="1" applyFont="1" applyBorder="1" applyAlignment="1">
      <alignment horizontal="center" vertical="center"/>
    </xf>
    <xf numFmtId="167" fontId="9" fillId="0" borderId="1" xfId="0" applyNumberFormat="1" applyFont="1" applyBorder="1" applyAlignment="1">
      <alignment horizontal="center" vertical="center"/>
    </xf>
    <xf numFmtId="167" fontId="9" fillId="0" borderId="3" xfId="0" applyNumberFormat="1" applyFont="1" applyBorder="1" applyAlignment="1">
      <alignment horizontal="center" vertical="center"/>
    </xf>
    <xf numFmtId="0" fontId="12" fillId="0" borderId="1" xfId="9" applyFont="1" applyBorder="1" applyAlignment="1">
      <alignment horizontal="center" vertical="center" wrapText="1"/>
    </xf>
    <xf numFmtId="0" fontId="12" fillId="0" borderId="3" xfId="9" applyFont="1" applyBorder="1" applyAlignment="1">
      <alignment horizontal="center" vertical="center" wrapText="1"/>
    </xf>
    <xf numFmtId="1" fontId="12" fillId="0" borderId="1" xfId="9" applyNumberFormat="1" applyFont="1" applyBorder="1" applyAlignment="1">
      <alignment horizontal="center" vertical="center"/>
    </xf>
    <xf numFmtId="1" fontId="12" fillId="0" borderId="3" xfId="9" applyNumberFormat="1" applyFont="1" applyBorder="1" applyAlignment="1">
      <alignment horizontal="center" vertical="center"/>
    </xf>
    <xf numFmtId="0" fontId="9" fillId="2" borderId="1" xfId="9" quotePrefix="1" applyFont="1" applyFill="1" applyBorder="1" applyAlignment="1">
      <alignment horizontal="center" vertical="center" wrapText="1"/>
    </xf>
    <xf numFmtId="0" fontId="9" fillId="2" borderId="3" xfId="9" quotePrefix="1" applyFont="1" applyFill="1" applyBorder="1" applyAlignment="1">
      <alignment horizontal="center" vertical="center" wrapText="1"/>
    </xf>
    <xf numFmtId="0" fontId="0" fillId="0" borderId="0" xfId="7" applyFont="1" applyAlignment="1">
      <alignment horizontal="center"/>
    </xf>
    <xf numFmtId="0" fontId="0" fillId="0" borderId="0" xfId="0" applyAlignment="1">
      <alignment horizontal="center" vertical="center"/>
    </xf>
    <xf numFmtId="0" fontId="11" fillId="0" borderId="0" xfId="7" applyFont="1" applyAlignment="1">
      <alignment horizontal="center"/>
    </xf>
    <xf numFmtId="0" fontId="11" fillId="0" borderId="0" xfId="7" applyFont="1" applyAlignment="1">
      <alignment horizontal="center" vertical="center"/>
    </xf>
    <xf numFmtId="0" fontId="0" fillId="0" borderId="0" xfId="9" applyFont="1" applyAlignment="1">
      <alignment horizontal="center"/>
    </xf>
    <xf numFmtId="0" fontId="14" fillId="0" borderId="0" xfId="9" applyFont="1" applyAlignment="1">
      <alignment horizontal="center"/>
    </xf>
    <xf numFmtId="0" fontId="0" fillId="0" borderId="0" xfId="9" applyFont="1" applyAlignment="1">
      <alignment horizontal="center" vertical="center"/>
    </xf>
    <xf numFmtId="0" fontId="14" fillId="0" borderId="0" xfId="7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0" xfId="7" applyFont="1" applyAlignment="1">
      <alignment horizontal="center" vertical="center"/>
    </xf>
    <xf numFmtId="0" fontId="17" fillId="0" borderId="1" xfId="9" applyFont="1" applyBorder="1" applyAlignment="1">
      <alignment horizontal="center" vertical="center" wrapText="1"/>
    </xf>
    <xf numFmtId="0" fontId="17" fillId="0" borderId="3" xfId="9" applyFont="1" applyBorder="1" applyAlignment="1">
      <alignment horizontal="center" vertical="center" wrapText="1"/>
    </xf>
    <xf numFmtId="0" fontId="8" fillId="0" borderId="6" xfId="9" applyFont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0" fontId="17" fillId="2" borderId="3" xfId="0" applyFont="1" applyFill="1" applyBorder="1" applyAlignment="1">
      <alignment horizontal="center" vertical="center"/>
    </xf>
    <xf numFmtId="0" fontId="12" fillId="0" borderId="1" xfId="9" quotePrefix="1" applyFont="1" applyBorder="1" applyAlignment="1">
      <alignment horizontal="center" vertical="center" wrapText="1"/>
    </xf>
    <xf numFmtId="0" fontId="12" fillId="0" borderId="3" xfId="9" quotePrefix="1" applyFont="1" applyBorder="1" applyAlignment="1">
      <alignment horizontal="center" vertical="center" wrapText="1"/>
    </xf>
    <xf numFmtId="0" fontId="17" fillId="0" borderId="6" xfId="9" applyFont="1" applyBorder="1" applyAlignment="1">
      <alignment horizontal="center" vertical="center"/>
    </xf>
    <xf numFmtId="0" fontId="9" fillId="2" borderId="1" xfId="9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7" fillId="2" borderId="1" xfId="9" applyFont="1" applyFill="1" applyBorder="1" applyAlignment="1">
      <alignment horizontal="center" vertical="center" wrapText="1"/>
    </xf>
    <xf numFmtId="0" fontId="17" fillId="2" borderId="3" xfId="9" applyFont="1" applyFill="1" applyBorder="1" applyAlignment="1">
      <alignment horizontal="center" vertical="center" wrapText="1"/>
    </xf>
    <xf numFmtId="0" fontId="8" fillId="2" borderId="1" xfId="9" applyFont="1" applyFill="1" applyBorder="1" applyAlignment="1">
      <alignment horizontal="center" vertical="center"/>
    </xf>
    <xf numFmtId="0" fontId="8" fillId="2" borderId="3" xfId="9" applyFont="1" applyFill="1" applyBorder="1" applyAlignment="1">
      <alignment horizontal="center" vertical="center"/>
    </xf>
    <xf numFmtId="0" fontId="17" fillId="2" borderId="1" xfId="9" applyFont="1" applyFill="1" applyBorder="1" applyAlignment="1">
      <alignment horizontal="center" vertical="center"/>
    </xf>
    <xf numFmtId="0" fontId="17" fillId="2" borderId="3" xfId="9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9" fillId="0" borderId="1" xfId="9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8" fillId="0" borderId="1" xfId="9" applyFont="1" applyBorder="1" applyAlignment="1">
      <alignment horizontal="center" vertical="center"/>
    </xf>
    <xf numFmtId="0" fontId="8" fillId="0" borderId="3" xfId="9" applyFont="1" applyBorder="1" applyAlignment="1">
      <alignment horizontal="center" vertical="center"/>
    </xf>
    <xf numFmtId="0" fontId="9" fillId="2" borderId="3" xfId="9" quotePrefix="1" applyFont="1" applyFill="1" applyBorder="1" applyAlignment="1">
      <alignment horizontal="center" vertical="center"/>
    </xf>
    <xf numFmtId="0" fontId="18" fillId="2" borderId="3" xfId="9" quotePrefix="1" applyFont="1" applyFill="1" applyBorder="1" applyAlignment="1">
      <alignment horizontal="center" vertical="center"/>
    </xf>
    <xf numFmtId="0" fontId="9" fillId="0" borderId="3" xfId="0" applyFont="1" applyBorder="1" applyAlignment="1">
      <alignment horizontal="left"/>
    </xf>
    <xf numFmtId="0" fontId="12" fillId="2" borderId="1" xfId="9" quotePrefix="1" applyFont="1" applyFill="1" applyBorder="1" applyAlignment="1">
      <alignment horizontal="center" vertical="center" wrapText="1"/>
    </xf>
    <xf numFmtId="0" fontId="12" fillId="2" borderId="3" xfId="9" quotePrefix="1" applyFont="1" applyFill="1" applyBorder="1" applyAlignment="1">
      <alignment horizontal="center" vertical="center" wrapText="1"/>
    </xf>
    <xf numFmtId="0" fontId="17" fillId="0" borderId="1" xfId="9" applyFont="1" applyBorder="1" applyAlignment="1">
      <alignment horizontal="center" vertical="center"/>
    </xf>
    <xf numFmtId="0" fontId="17" fillId="0" borderId="3" xfId="9" applyFont="1" applyBorder="1" applyAlignment="1">
      <alignment horizontal="center" vertical="center"/>
    </xf>
    <xf numFmtId="0" fontId="18" fillId="0" borderId="1" xfId="9" applyFont="1" applyBorder="1" applyAlignment="1">
      <alignment horizontal="center" vertical="center"/>
    </xf>
    <xf numFmtId="0" fontId="18" fillId="0" borderId="3" xfId="9" applyFont="1" applyBorder="1" applyAlignment="1">
      <alignment horizontal="center" vertical="center"/>
    </xf>
    <xf numFmtId="0" fontId="15" fillId="2" borderId="1" xfId="9" applyFont="1" applyFill="1" applyBorder="1" applyAlignment="1">
      <alignment horizontal="center" vertical="center"/>
    </xf>
    <xf numFmtId="0" fontId="15" fillId="2" borderId="3" xfId="9" applyFont="1" applyFill="1" applyBorder="1" applyAlignment="1">
      <alignment horizontal="center" vertical="center"/>
    </xf>
    <xf numFmtId="1" fontId="15" fillId="2" borderId="6" xfId="9" applyNumberFormat="1" applyFont="1" applyFill="1" applyBorder="1" applyAlignment="1">
      <alignment horizontal="center" vertical="center"/>
    </xf>
    <xf numFmtId="0" fontId="18" fillId="2" borderId="1" xfId="9" quotePrefix="1" applyFont="1" applyFill="1" applyBorder="1" applyAlignment="1">
      <alignment horizontal="center" vertical="center" wrapText="1"/>
    </xf>
    <xf numFmtId="0" fontId="18" fillId="2" borderId="3" xfId="9" applyFont="1" applyFill="1" applyBorder="1" applyAlignment="1">
      <alignment horizontal="center" vertical="center" wrapText="1"/>
    </xf>
    <xf numFmtId="167" fontId="9" fillId="0" borderId="4" xfId="9" quotePrefix="1" applyNumberFormat="1" applyFont="1" applyBorder="1" applyAlignment="1">
      <alignment horizontal="center" vertical="center"/>
    </xf>
    <xf numFmtId="167" fontId="9" fillId="0" borderId="5" xfId="9" applyNumberFormat="1" applyFont="1" applyBorder="1" applyAlignment="1">
      <alignment horizontal="center" vertical="center"/>
    </xf>
    <xf numFmtId="167" fontId="9" fillId="2" borderId="1" xfId="0" applyNumberFormat="1" applyFont="1" applyFill="1" applyBorder="1" applyAlignment="1">
      <alignment horizontal="center" vertical="center"/>
    </xf>
    <xf numFmtId="167" fontId="9" fillId="2" borderId="3" xfId="0" applyNumberFormat="1" applyFont="1" applyFill="1" applyBorder="1" applyAlignment="1">
      <alignment horizontal="center" vertical="center"/>
    </xf>
    <xf numFmtId="0" fontId="9" fillId="2" borderId="1" xfId="9" applyFont="1" applyFill="1" applyBorder="1" applyAlignment="1">
      <alignment horizontal="left" vertical="center" wrapText="1"/>
    </xf>
    <xf numFmtId="0" fontId="9" fillId="2" borderId="3" xfId="9" applyFont="1" applyFill="1" applyBorder="1" applyAlignment="1">
      <alignment horizontal="left" vertical="center" wrapText="1"/>
    </xf>
    <xf numFmtId="0" fontId="18" fillId="2" borderId="6" xfId="9" applyFont="1" applyFill="1" applyBorder="1" applyAlignment="1">
      <alignment horizontal="center" vertical="center"/>
    </xf>
    <xf numFmtId="0" fontId="12" fillId="2" borderId="1" xfId="9" applyFont="1" applyFill="1" applyBorder="1" applyAlignment="1">
      <alignment horizontal="center" vertical="center"/>
    </xf>
    <xf numFmtId="0" fontId="12" fillId="2" borderId="3" xfId="9" applyFont="1" applyFill="1" applyBorder="1" applyAlignment="1">
      <alignment horizontal="center" vertical="center"/>
    </xf>
    <xf numFmtId="0" fontId="9" fillId="0" borderId="1" xfId="9" applyFont="1" applyBorder="1" applyAlignment="1">
      <alignment horizontal="center" vertical="center" wrapText="1"/>
    </xf>
    <xf numFmtId="167" fontId="9" fillId="0" borderId="1" xfId="0" quotePrefix="1" applyNumberFormat="1" applyFont="1" applyBorder="1" applyAlignment="1">
      <alignment horizontal="center" vertical="center"/>
    </xf>
    <xf numFmtId="167" fontId="9" fillId="0" borderId="3" xfId="0" quotePrefix="1" applyNumberFormat="1" applyFont="1" applyBorder="1" applyAlignment="1">
      <alignment horizontal="center" vertical="center"/>
    </xf>
    <xf numFmtId="0" fontId="18" fillId="2" borderId="6" xfId="9" applyFont="1" applyFill="1" applyBorder="1" applyAlignment="1">
      <alignment horizontal="center" vertical="center" wrapText="1"/>
    </xf>
    <xf numFmtId="0" fontId="9" fillId="0" borderId="2" xfId="9" quotePrefix="1" applyFont="1" applyBorder="1" applyAlignment="1">
      <alignment horizontal="center" vertical="center"/>
    </xf>
    <xf numFmtId="0" fontId="9" fillId="2" borderId="2" xfId="9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left" vertical="center"/>
    </xf>
    <xf numFmtId="0" fontId="9" fillId="0" borderId="2" xfId="0" applyFont="1" applyBorder="1" applyAlignment="1">
      <alignment horizontal="center" vertical="center"/>
    </xf>
    <xf numFmtId="167" fontId="9" fillId="0" borderId="2" xfId="0" applyNumberFormat="1" applyFont="1" applyBorder="1" applyAlignment="1">
      <alignment horizontal="center" vertical="center"/>
    </xf>
    <xf numFmtId="0" fontId="9" fillId="0" borderId="2" xfId="9" applyFont="1" applyBorder="1" applyAlignment="1">
      <alignment horizontal="left" vertical="center" wrapText="1"/>
    </xf>
    <xf numFmtId="167" fontId="9" fillId="0" borderId="2" xfId="9" quotePrefix="1" applyNumberFormat="1" applyFont="1" applyBorder="1" applyAlignment="1">
      <alignment horizontal="center" vertical="center"/>
    </xf>
    <xf numFmtId="0" fontId="9" fillId="0" borderId="2" xfId="9" applyFont="1" applyBorder="1" applyAlignment="1">
      <alignment horizontal="center" vertical="center" wrapText="1"/>
    </xf>
    <xf numFmtId="0" fontId="18" fillId="2" borderId="2" xfId="9" applyFont="1" applyFill="1" applyBorder="1" applyAlignment="1">
      <alignment horizontal="center" vertical="center" wrapText="1"/>
    </xf>
    <xf numFmtId="0" fontId="13" fillId="0" borderId="0" xfId="9" applyFont="1" applyAlignment="1">
      <alignment horizontal="center"/>
    </xf>
    <xf numFmtId="0" fontId="13" fillId="0" borderId="0" xfId="9" applyFont="1" applyAlignment="1">
      <alignment horizontal="center" vertical="center"/>
    </xf>
    <xf numFmtId="0" fontId="10" fillId="0" borderId="1" xfId="9" applyFont="1" applyBorder="1" applyAlignment="1">
      <alignment horizontal="center" vertical="center" wrapText="1"/>
    </xf>
    <xf numFmtId="0" fontId="10" fillId="0" borderId="2" xfId="9" applyFont="1" applyBorder="1" applyAlignment="1">
      <alignment horizontal="center" vertical="center" wrapText="1"/>
    </xf>
    <xf numFmtId="0" fontId="10" fillId="0" borderId="3" xfId="9" applyFont="1" applyBorder="1" applyAlignment="1">
      <alignment horizontal="center" vertical="center" wrapText="1"/>
    </xf>
    <xf numFmtId="0" fontId="10" fillId="0" borderId="1" xfId="9" applyFont="1" applyBorder="1" applyAlignment="1">
      <alignment horizontal="center" vertical="center"/>
    </xf>
    <xf numFmtId="0" fontId="10" fillId="0" borderId="2" xfId="9" applyFont="1" applyBorder="1" applyAlignment="1">
      <alignment horizontal="center" vertical="center"/>
    </xf>
    <xf numFmtId="0" fontId="10" fillId="0" borderId="3" xfId="9" applyFont="1" applyBorder="1" applyAlignment="1">
      <alignment horizontal="center" vertical="center"/>
    </xf>
    <xf numFmtId="0" fontId="10" fillId="0" borderId="7" xfId="9" applyFont="1" applyBorder="1" applyAlignment="1">
      <alignment horizontal="center" vertical="center"/>
    </xf>
    <xf numFmtId="0" fontId="10" fillId="0" borderId="8" xfId="9" applyFont="1" applyBorder="1" applyAlignment="1">
      <alignment horizontal="center" vertical="center"/>
    </xf>
    <xf numFmtId="165" fontId="10" fillId="0" borderId="10" xfId="9" applyNumberFormat="1" applyFont="1" applyBorder="1" applyAlignment="1">
      <alignment horizontal="center" vertical="center" wrapText="1"/>
    </xf>
    <xf numFmtId="165" fontId="10" fillId="0" borderId="11" xfId="9" applyNumberFormat="1" applyFont="1" applyBorder="1" applyAlignment="1">
      <alignment horizontal="center" vertical="center" wrapText="1"/>
    </xf>
    <xf numFmtId="165" fontId="10" fillId="0" borderId="12" xfId="9" applyNumberFormat="1" applyFont="1" applyBorder="1" applyAlignment="1">
      <alignment horizontal="center" vertical="center" wrapText="1"/>
    </xf>
    <xf numFmtId="165" fontId="10" fillId="0" borderId="13" xfId="9" applyNumberFormat="1" applyFont="1" applyBorder="1" applyAlignment="1">
      <alignment horizontal="center" vertical="center" wrapText="1"/>
    </xf>
    <xf numFmtId="165" fontId="10" fillId="0" borderId="4" xfId="9" applyNumberFormat="1" applyFont="1" applyBorder="1" applyAlignment="1">
      <alignment horizontal="center" vertical="center" wrapText="1"/>
    </xf>
    <xf numFmtId="165" fontId="10" fillId="0" borderId="5" xfId="9" applyNumberFormat="1" applyFont="1" applyBorder="1" applyAlignment="1">
      <alignment horizontal="center" vertical="center" wrapText="1"/>
    </xf>
    <xf numFmtId="0" fontId="10" fillId="0" borderId="9" xfId="9" applyFont="1" applyBorder="1" applyAlignment="1">
      <alignment horizontal="center" vertical="center"/>
    </xf>
    <xf numFmtId="0" fontId="10" fillId="0" borderId="11" xfId="9" applyFont="1" applyBorder="1" applyAlignment="1">
      <alignment horizontal="center" vertical="center" wrapText="1"/>
    </xf>
    <xf numFmtId="0" fontId="10" fillId="0" borderId="14" xfId="9" applyFont="1" applyBorder="1" applyAlignment="1">
      <alignment horizontal="center" vertical="center" wrapText="1"/>
    </xf>
    <xf numFmtId="0" fontId="10" fillId="0" borderId="13" xfId="9" applyFont="1" applyBorder="1" applyAlignment="1">
      <alignment horizontal="center" vertical="center" wrapText="1"/>
    </xf>
    <xf numFmtId="167" fontId="10" fillId="0" borderId="1" xfId="9" applyNumberFormat="1" applyFont="1" applyBorder="1" applyAlignment="1">
      <alignment horizontal="center" vertical="center"/>
    </xf>
    <xf numFmtId="167" fontId="10" fillId="0" borderId="3" xfId="9" applyNumberFormat="1" applyFont="1" applyBorder="1" applyAlignment="1">
      <alignment horizontal="center" vertical="center"/>
    </xf>
    <xf numFmtId="167" fontId="10" fillId="0" borderId="1" xfId="9" applyNumberFormat="1" applyFont="1" applyBorder="1" applyAlignment="1">
      <alignment horizontal="center" vertical="center" wrapText="1"/>
    </xf>
    <xf numFmtId="167" fontId="10" fillId="0" borderId="3" xfId="9" applyNumberFormat="1" applyFont="1" applyBorder="1" applyAlignment="1">
      <alignment horizontal="center" vertical="center" wrapText="1"/>
    </xf>
    <xf numFmtId="49" fontId="22" fillId="0" borderId="7" xfId="11" applyNumberFormat="1" applyFont="1" applyBorder="1" applyAlignment="1">
      <alignment horizontal="center" vertical="center" wrapText="1"/>
    </xf>
    <xf numFmtId="49" fontId="22" fillId="0" borderId="8" xfId="11" applyNumberFormat="1" applyFont="1" applyBorder="1" applyAlignment="1">
      <alignment horizontal="center" vertical="center" wrapText="1"/>
    </xf>
    <xf numFmtId="0" fontId="24" fillId="0" borderId="0" xfId="11" applyFont="1" applyAlignment="1">
      <alignment horizontal="left" vertical="center"/>
    </xf>
    <xf numFmtId="0" fontId="20" fillId="0" borderId="0" xfId="11" applyFont="1" applyAlignment="1">
      <alignment horizontal="center"/>
    </xf>
    <xf numFmtId="0" fontId="20" fillId="0" borderId="0" xfId="11" applyFont="1" applyAlignment="1">
      <alignment horizontal="center" vertical="center"/>
    </xf>
    <xf numFmtId="0" fontId="22" fillId="2" borderId="1" xfId="11" applyFont="1" applyFill="1" applyBorder="1" applyAlignment="1">
      <alignment horizontal="center" vertical="center" wrapText="1"/>
    </xf>
    <xf numFmtId="0" fontId="22" fillId="2" borderId="3" xfId="11" applyFont="1" applyFill="1" applyBorder="1" applyAlignment="1">
      <alignment horizontal="center" vertical="center" wrapText="1"/>
    </xf>
    <xf numFmtId="49" fontId="22" fillId="2" borderId="4" xfId="11" applyNumberFormat="1" applyFont="1" applyFill="1" applyBorder="1" applyAlignment="1">
      <alignment horizontal="center" vertical="center" wrapText="1"/>
    </xf>
    <xf numFmtId="49" fontId="22" fillId="2" borderId="11" xfId="11" applyNumberFormat="1" applyFont="1" applyFill="1" applyBorder="1" applyAlignment="1">
      <alignment horizontal="center" vertical="center" wrapText="1"/>
    </xf>
    <xf numFmtId="49" fontId="22" fillId="2" borderId="5" xfId="11" applyNumberFormat="1" applyFont="1" applyFill="1" applyBorder="1" applyAlignment="1">
      <alignment horizontal="center" vertical="center" wrapText="1"/>
    </xf>
    <xf numFmtId="49" fontId="22" fillId="2" borderId="13" xfId="11" applyNumberFormat="1" applyFont="1" applyFill="1" applyBorder="1" applyAlignment="1">
      <alignment horizontal="center" vertical="center" wrapText="1"/>
    </xf>
    <xf numFmtId="49" fontId="22" fillId="2" borderId="1" xfId="11" applyNumberFormat="1" applyFont="1" applyFill="1" applyBorder="1" applyAlignment="1">
      <alignment horizontal="center" vertical="center" wrapText="1"/>
    </xf>
    <xf numFmtId="49" fontId="22" fillId="2" borderId="3" xfId="11" applyNumberFormat="1" applyFont="1" applyFill="1" applyBorder="1" applyAlignment="1">
      <alignment horizontal="center" vertical="center" wrapText="1"/>
    </xf>
    <xf numFmtId="0" fontId="22" fillId="0" borderId="1" xfId="11" applyFont="1" applyBorder="1" applyAlignment="1">
      <alignment horizontal="center" vertical="center" wrapText="1"/>
    </xf>
    <xf numFmtId="0" fontId="22" fillId="0" borderId="3" xfId="11" applyFont="1" applyBorder="1" applyAlignment="1">
      <alignment horizontal="center" vertical="center" wrapText="1"/>
    </xf>
    <xf numFmtId="0" fontId="22" fillId="0" borderId="7" xfId="11" applyFont="1" applyBorder="1" applyAlignment="1">
      <alignment horizontal="center" vertical="center"/>
    </xf>
    <xf numFmtId="0" fontId="22" fillId="0" borderId="9" xfId="11" applyFont="1" applyBorder="1" applyAlignment="1">
      <alignment horizontal="center" vertical="center"/>
    </xf>
    <xf numFmtId="0" fontId="22" fillId="0" borderId="8" xfId="11" applyFont="1" applyBorder="1" applyAlignment="1">
      <alignment horizontal="center" vertical="center"/>
    </xf>
    <xf numFmtId="0" fontId="22" fillId="0" borderId="1" xfId="11" applyFont="1" applyBorder="1" applyAlignment="1">
      <alignment horizontal="center" vertical="center"/>
    </xf>
    <xf numFmtId="0" fontId="22" fillId="0" borderId="3" xfId="11" applyFont="1" applyBorder="1" applyAlignment="1">
      <alignment horizontal="center" vertical="center"/>
    </xf>
    <xf numFmtId="0" fontId="22" fillId="0" borderId="7" xfId="11" applyFont="1" applyBorder="1" applyAlignment="1">
      <alignment horizontal="center" vertical="center" wrapText="1"/>
    </xf>
    <xf numFmtId="0" fontId="22" fillId="0" borderId="8" xfId="11" applyFont="1" applyBorder="1" applyAlignment="1">
      <alignment horizontal="center" vertical="center" wrapText="1"/>
    </xf>
    <xf numFmtId="0" fontId="22" fillId="0" borderId="4" xfId="11" applyFont="1" applyBorder="1" applyAlignment="1">
      <alignment horizontal="center" vertical="center" wrapText="1"/>
    </xf>
    <xf numFmtId="0" fontId="22" fillId="0" borderId="11" xfId="11" applyFont="1" applyBorder="1" applyAlignment="1">
      <alignment horizontal="center" vertical="center" wrapText="1"/>
    </xf>
    <xf numFmtId="0" fontId="22" fillId="0" borderId="5" xfId="11" applyFont="1" applyBorder="1" applyAlignment="1">
      <alignment horizontal="center" vertical="center" wrapText="1"/>
    </xf>
    <xf numFmtId="0" fontId="22" fillId="0" borderId="13" xfId="11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25" fillId="0" borderId="0" xfId="0" applyFont="1" applyAlignment="1">
      <alignment horizontal="center"/>
    </xf>
    <xf numFmtId="0" fontId="26" fillId="0" borderId="0" xfId="0" applyFont="1" applyAlignment="1">
      <alignment horizontal="center"/>
    </xf>
  </cellXfs>
  <cellStyles count="13">
    <cellStyle name="Comma [0] 2" xfId="4" xr:uid="{00000000-0005-0000-0000-000000000000}"/>
    <cellStyle name="Normal" xfId="0" builtinId="0"/>
    <cellStyle name="Normal 2" xfId="1" xr:uid="{00000000-0005-0000-0000-000002000000}"/>
    <cellStyle name="Normal 2 2" xfId="2" xr:uid="{00000000-0005-0000-0000-000003000000}"/>
    <cellStyle name="Normal 2 3" xfId="3" xr:uid="{00000000-0005-0000-0000-000004000000}"/>
    <cellStyle name="Normal 2 3 2" xfId="7" xr:uid="{617ABEFE-D83F-4C45-9062-D17E30B8CBDE}"/>
    <cellStyle name="Normal 2 3 2 2" xfId="9" xr:uid="{DB9C1784-ECEA-46C7-94DD-81FE0689C135}"/>
    <cellStyle name="Normal 2 4" xfId="5" xr:uid="{6748961F-5933-4EA2-8CCC-77D3C6C2BE8B}"/>
    <cellStyle name="Normal 2 4 2" xfId="8" xr:uid="{4090B8CE-B60B-4228-8C2A-47F64E049B27}"/>
    <cellStyle name="Normal 2 4 2 2" xfId="11" xr:uid="{14A51510-F74E-48D3-8A32-F58824F00BE3}"/>
    <cellStyle name="Normal 2 4 3" xfId="10" xr:uid="{524AF720-3EFA-4D2D-B36D-C55CB8443A16}"/>
    <cellStyle name="Normal 3" xfId="6" xr:uid="{89D10878-207E-4161-A230-83F3F04C2F15}"/>
    <cellStyle name="Normal 4" xfId="12" xr:uid="{D9503DD2-DC0D-43AB-919C-EFBC1C739242}"/>
  </cellStyles>
  <dxfs count="3">
    <dxf>
      <fill>
        <patternFill patternType="solid">
          <fgColor rgb="FFBDD6EE"/>
          <bgColor rgb="FFBDD6EE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</dxfs>
  <tableStyles count="1" defaultTableStyle="TableStyleMedium9" defaultPivotStyle="PivotStyleLight16">
    <tableStyle name="DISDUKCAPIL-style" pivot="0" count="3" xr9:uid="{F88EC925-EA0D-43E2-9CBF-D8182279E4F2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B7453-E72B-4F2A-B86F-F18D6E673E54}">
  <dimension ref="A1:R135"/>
  <sheetViews>
    <sheetView topLeftCell="A83" zoomScale="110" zoomScaleNormal="110" zoomScaleSheetLayoutView="100" workbookViewId="0">
      <selection activeCell="B45" sqref="B45:B46"/>
    </sheetView>
  </sheetViews>
  <sheetFormatPr defaultColWidth="9.140625" defaultRowHeight="11.25" x14ac:dyDescent="0.2"/>
  <cols>
    <col min="1" max="1" width="5" style="13" customWidth="1"/>
    <col min="2" max="2" width="28" style="13" customWidth="1"/>
    <col min="3" max="3" width="17.5703125" style="13" customWidth="1"/>
    <col min="4" max="4" width="16.28515625" style="18" customWidth="1"/>
    <col min="5" max="5" width="14.5703125" style="37" customWidth="1"/>
    <col min="6" max="6" width="22.5703125" style="13" customWidth="1"/>
    <col min="7" max="7" width="15" style="37" customWidth="1"/>
    <col min="8" max="8" width="5.5703125" style="36" customWidth="1"/>
    <col min="9" max="9" width="5.7109375" style="36" customWidth="1"/>
    <col min="10" max="10" width="9.42578125" style="36" customWidth="1"/>
    <col min="11" max="12" width="7.85546875" style="36" customWidth="1"/>
    <col min="13" max="13" width="8.42578125" style="13" customWidth="1"/>
    <col min="14" max="14" width="6.85546875" style="13" customWidth="1"/>
    <col min="15" max="15" width="8" style="13" customWidth="1"/>
    <col min="16" max="16" width="6.42578125" style="13" customWidth="1"/>
    <col min="17" max="17" width="10.5703125" style="13" customWidth="1"/>
    <col min="18" max="18" width="5" style="13" customWidth="1"/>
    <col min="19" max="16384" width="9.140625" style="13"/>
  </cols>
  <sheetData>
    <row r="1" spans="1:18" ht="12.75" x14ac:dyDescent="0.2">
      <c r="A1" s="232" t="s">
        <v>150</v>
      </c>
      <c r="B1" s="232"/>
      <c r="C1" s="232"/>
      <c r="D1" s="232"/>
      <c r="E1" s="232"/>
      <c r="F1" s="232"/>
      <c r="G1" s="232"/>
      <c r="H1" s="232"/>
      <c r="I1" s="232"/>
      <c r="J1" s="232"/>
      <c r="K1" s="232"/>
      <c r="L1" s="232"/>
      <c r="M1" s="232"/>
      <c r="N1" s="232"/>
      <c r="O1" s="232"/>
      <c r="P1" s="232"/>
      <c r="Q1" s="232"/>
      <c r="R1" s="232"/>
    </row>
    <row r="2" spans="1:18" ht="12.75" x14ac:dyDescent="0.2">
      <c r="A2" s="233" t="s">
        <v>55</v>
      </c>
      <c r="B2" s="233"/>
      <c r="C2" s="233"/>
      <c r="D2" s="233"/>
      <c r="E2" s="233"/>
      <c r="F2" s="233"/>
      <c r="G2" s="233"/>
      <c r="H2" s="233"/>
      <c r="I2" s="233"/>
      <c r="J2" s="233"/>
      <c r="K2" s="233"/>
      <c r="L2" s="233"/>
      <c r="M2" s="233"/>
      <c r="N2" s="233"/>
      <c r="O2" s="233"/>
      <c r="P2" s="233"/>
      <c r="Q2" s="233"/>
      <c r="R2" s="233"/>
    </row>
    <row r="3" spans="1:18" ht="12.75" x14ac:dyDescent="0.2">
      <c r="A3" s="233" t="s">
        <v>595</v>
      </c>
      <c r="B3" s="233"/>
      <c r="C3" s="233"/>
      <c r="D3" s="233"/>
      <c r="E3" s="233"/>
      <c r="F3" s="233"/>
      <c r="G3" s="233"/>
      <c r="H3" s="233"/>
      <c r="I3" s="233"/>
      <c r="J3" s="233"/>
      <c r="K3" s="233"/>
      <c r="L3" s="233"/>
      <c r="M3" s="233"/>
      <c r="N3" s="233"/>
      <c r="O3" s="233"/>
      <c r="P3" s="233"/>
      <c r="Q3" s="233"/>
      <c r="R3" s="233"/>
    </row>
    <row r="4" spans="1:18" ht="12.6" customHeight="1" x14ac:dyDescent="0.2">
      <c r="A4" s="14"/>
      <c r="B4" s="14"/>
      <c r="C4" s="14"/>
      <c r="D4" s="14"/>
      <c r="E4" s="15"/>
      <c r="F4" s="16"/>
      <c r="G4" s="17"/>
      <c r="H4" s="14"/>
      <c r="I4" s="14"/>
      <c r="J4" s="14"/>
      <c r="K4" s="14"/>
      <c r="L4" s="14"/>
      <c r="M4" s="16"/>
      <c r="N4" s="16"/>
      <c r="O4" s="16"/>
      <c r="P4" s="16"/>
      <c r="Q4" s="16"/>
      <c r="R4" s="16"/>
    </row>
    <row r="5" spans="1:18" s="18" customFormat="1" ht="17.45" customHeight="1" x14ac:dyDescent="0.2">
      <c r="A5" s="234" t="s">
        <v>120</v>
      </c>
      <c r="B5" s="237" t="s">
        <v>0</v>
      </c>
      <c r="C5" s="237" t="s">
        <v>1</v>
      </c>
      <c r="D5" s="240" t="s">
        <v>121</v>
      </c>
      <c r="E5" s="241"/>
      <c r="F5" s="240" t="s">
        <v>95</v>
      </c>
      <c r="G5" s="241"/>
      <c r="H5" s="242" t="s">
        <v>56</v>
      </c>
      <c r="I5" s="243"/>
      <c r="J5" s="246" t="s">
        <v>125</v>
      </c>
      <c r="K5" s="242"/>
      <c r="L5" s="243"/>
      <c r="M5" s="240" t="s">
        <v>57</v>
      </c>
      <c r="N5" s="248"/>
      <c r="O5" s="241"/>
      <c r="P5" s="237" t="s">
        <v>128</v>
      </c>
      <c r="Q5" s="249" t="s">
        <v>129</v>
      </c>
      <c r="R5" s="237" t="s">
        <v>40</v>
      </c>
    </row>
    <row r="6" spans="1:18" s="19" customFormat="1" ht="24" customHeight="1" x14ac:dyDescent="0.25">
      <c r="A6" s="235"/>
      <c r="B6" s="238"/>
      <c r="C6" s="238"/>
      <c r="D6" s="237" t="s">
        <v>39</v>
      </c>
      <c r="E6" s="252" t="s">
        <v>2</v>
      </c>
      <c r="F6" s="237" t="s">
        <v>0</v>
      </c>
      <c r="G6" s="254" t="s">
        <v>122</v>
      </c>
      <c r="H6" s="244"/>
      <c r="I6" s="245"/>
      <c r="J6" s="247"/>
      <c r="K6" s="244"/>
      <c r="L6" s="245"/>
      <c r="M6" s="234" t="s">
        <v>0</v>
      </c>
      <c r="N6" s="234" t="s">
        <v>126</v>
      </c>
      <c r="O6" s="234" t="s">
        <v>127</v>
      </c>
      <c r="P6" s="238"/>
      <c r="Q6" s="250"/>
      <c r="R6" s="238"/>
    </row>
    <row r="7" spans="1:18" s="18" customFormat="1" ht="27.75" customHeight="1" x14ac:dyDescent="0.2">
      <c r="A7" s="236"/>
      <c r="B7" s="239"/>
      <c r="C7" s="239"/>
      <c r="D7" s="239"/>
      <c r="E7" s="253"/>
      <c r="F7" s="239"/>
      <c r="G7" s="255"/>
      <c r="H7" s="22" t="s">
        <v>94</v>
      </c>
      <c r="I7" s="22" t="s">
        <v>93</v>
      </c>
      <c r="J7" s="21" t="s">
        <v>0</v>
      </c>
      <c r="K7" s="20" t="s">
        <v>123</v>
      </c>
      <c r="L7" s="20" t="s">
        <v>124</v>
      </c>
      <c r="M7" s="236"/>
      <c r="N7" s="236"/>
      <c r="O7" s="236"/>
      <c r="P7" s="239"/>
      <c r="Q7" s="251"/>
      <c r="R7" s="239"/>
    </row>
    <row r="8" spans="1:18" s="18" customFormat="1" x14ac:dyDescent="0.2">
      <c r="A8" s="23">
        <v>1</v>
      </c>
      <c r="B8" s="24">
        <v>2</v>
      </c>
      <c r="C8" s="23">
        <v>3</v>
      </c>
      <c r="D8" s="24">
        <v>4</v>
      </c>
      <c r="E8" s="23">
        <v>5</v>
      </c>
      <c r="F8" s="24">
        <v>6</v>
      </c>
      <c r="G8" s="23">
        <v>7</v>
      </c>
      <c r="H8" s="23">
        <v>8</v>
      </c>
      <c r="I8" s="25">
        <v>9</v>
      </c>
      <c r="J8" s="25">
        <v>10</v>
      </c>
      <c r="K8" s="25">
        <v>11</v>
      </c>
      <c r="L8" s="25">
        <v>12</v>
      </c>
      <c r="M8" s="24">
        <v>13</v>
      </c>
      <c r="N8" s="24">
        <v>14</v>
      </c>
      <c r="O8" s="24">
        <v>15</v>
      </c>
      <c r="P8" s="23">
        <v>16</v>
      </c>
      <c r="Q8" s="24">
        <v>17</v>
      </c>
      <c r="R8" s="23">
        <v>18</v>
      </c>
    </row>
    <row r="9" spans="1:18" ht="24.95" customHeight="1" x14ac:dyDescent="0.2">
      <c r="A9" s="127">
        <v>1</v>
      </c>
      <c r="B9" s="225" t="s">
        <v>236</v>
      </c>
      <c r="C9" s="226" t="s">
        <v>237</v>
      </c>
      <c r="D9" s="4" t="s">
        <v>3</v>
      </c>
      <c r="E9" s="227">
        <v>44835</v>
      </c>
      <c r="F9" s="228" t="s">
        <v>108</v>
      </c>
      <c r="G9" s="229">
        <v>45313</v>
      </c>
      <c r="H9" s="218">
        <v>22</v>
      </c>
      <c r="I9" s="230">
        <v>0</v>
      </c>
      <c r="J9" s="231" t="s">
        <v>238</v>
      </c>
      <c r="K9" s="223">
        <v>2018</v>
      </c>
      <c r="L9" s="218" t="s">
        <v>239</v>
      </c>
      <c r="M9" s="186" t="s">
        <v>132</v>
      </c>
      <c r="N9" s="223">
        <v>2005</v>
      </c>
      <c r="O9" s="224" t="s">
        <v>58</v>
      </c>
      <c r="P9" s="26">
        <v>45</v>
      </c>
      <c r="Q9" s="123" t="s">
        <v>240</v>
      </c>
      <c r="R9" s="222" t="s">
        <v>10</v>
      </c>
    </row>
    <row r="10" spans="1:18" ht="24.95" customHeight="1" x14ac:dyDescent="0.2">
      <c r="A10" s="128"/>
      <c r="B10" s="130"/>
      <c r="C10" s="132"/>
      <c r="D10" s="5" t="s">
        <v>4</v>
      </c>
      <c r="E10" s="152"/>
      <c r="F10" s="136"/>
      <c r="G10" s="138"/>
      <c r="H10" s="127"/>
      <c r="I10" s="127"/>
      <c r="J10" s="208"/>
      <c r="K10" s="144"/>
      <c r="L10" s="127"/>
      <c r="M10" s="187"/>
      <c r="N10" s="144"/>
      <c r="O10" s="181"/>
      <c r="P10" s="27" t="s">
        <v>130</v>
      </c>
      <c r="Q10" s="124"/>
      <c r="R10" s="126"/>
    </row>
    <row r="11" spans="1:18" ht="24.95" customHeight="1" x14ac:dyDescent="0.2">
      <c r="A11" s="127">
        <v>2</v>
      </c>
      <c r="B11" s="148" t="s">
        <v>174</v>
      </c>
      <c r="C11" s="191" t="s">
        <v>175</v>
      </c>
      <c r="D11" s="4" t="s">
        <v>3</v>
      </c>
      <c r="E11" s="211">
        <v>45383</v>
      </c>
      <c r="F11" s="213" t="s">
        <v>90</v>
      </c>
      <c r="G11" s="209">
        <v>44588</v>
      </c>
      <c r="H11" s="153">
        <v>20</v>
      </c>
      <c r="I11" s="155">
        <v>0</v>
      </c>
      <c r="J11" s="221" t="s">
        <v>227</v>
      </c>
      <c r="K11" s="177">
        <v>2023</v>
      </c>
      <c r="L11" s="218" t="s">
        <v>228</v>
      </c>
      <c r="M11" s="186" t="s">
        <v>132</v>
      </c>
      <c r="N11" s="177">
        <v>2011</v>
      </c>
      <c r="O11" s="184" t="s">
        <v>58</v>
      </c>
      <c r="P11" s="28">
        <v>46</v>
      </c>
      <c r="Q11" s="123" t="s">
        <v>176</v>
      </c>
      <c r="R11" s="143" t="s">
        <v>10</v>
      </c>
    </row>
    <row r="12" spans="1:18" ht="24.95" customHeight="1" x14ac:dyDescent="0.2">
      <c r="A12" s="128"/>
      <c r="B12" s="149"/>
      <c r="C12" s="192"/>
      <c r="D12" s="5" t="s">
        <v>4</v>
      </c>
      <c r="E12" s="212"/>
      <c r="F12" s="214"/>
      <c r="G12" s="210"/>
      <c r="H12" s="154"/>
      <c r="I12" s="156"/>
      <c r="J12" s="221"/>
      <c r="K12" s="144"/>
      <c r="L12" s="127"/>
      <c r="M12" s="187"/>
      <c r="N12" s="144"/>
      <c r="O12" s="185"/>
      <c r="P12" s="27" t="s">
        <v>130</v>
      </c>
      <c r="Q12" s="124"/>
      <c r="R12" s="144"/>
    </row>
    <row r="13" spans="1:18" ht="24.95" customHeight="1" x14ac:dyDescent="0.2">
      <c r="A13" s="127">
        <v>3</v>
      </c>
      <c r="B13" s="129" t="s">
        <v>97</v>
      </c>
      <c r="C13" s="131" t="s">
        <v>44</v>
      </c>
      <c r="D13" s="4" t="s">
        <v>3</v>
      </c>
      <c r="E13" s="219">
        <v>45809</v>
      </c>
      <c r="F13" s="135" t="s">
        <v>91</v>
      </c>
      <c r="G13" s="209">
        <v>44932</v>
      </c>
      <c r="H13" s="153">
        <v>16</v>
      </c>
      <c r="I13" s="155">
        <v>4</v>
      </c>
      <c r="J13" s="221" t="s">
        <v>227</v>
      </c>
      <c r="K13" s="177">
        <v>2023</v>
      </c>
      <c r="L13" s="218" t="s">
        <v>228</v>
      </c>
      <c r="M13" s="178" t="s">
        <v>132</v>
      </c>
      <c r="N13" s="177">
        <v>2004</v>
      </c>
      <c r="O13" s="180" t="s">
        <v>58</v>
      </c>
      <c r="P13" s="26">
        <v>42</v>
      </c>
      <c r="Q13" s="123" t="s">
        <v>222</v>
      </c>
      <c r="R13" s="125" t="s">
        <v>10</v>
      </c>
    </row>
    <row r="14" spans="1:18" ht="24.95" customHeight="1" x14ac:dyDescent="0.2">
      <c r="A14" s="128"/>
      <c r="B14" s="130"/>
      <c r="C14" s="132"/>
      <c r="D14" s="5" t="s">
        <v>4</v>
      </c>
      <c r="E14" s="220"/>
      <c r="F14" s="136"/>
      <c r="G14" s="210"/>
      <c r="H14" s="154"/>
      <c r="I14" s="156"/>
      <c r="J14" s="221"/>
      <c r="K14" s="144"/>
      <c r="L14" s="127"/>
      <c r="M14" s="179"/>
      <c r="N14" s="144"/>
      <c r="O14" s="181"/>
      <c r="P14" s="27" t="s">
        <v>130</v>
      </c>
      <c r="Q14" s="124"/>
      <c r="R14" s="126"/>
    </row>
    <row r="15" spans="1:18" ht="24.95" customHeight="1" x14ac:dyDescent="0.2">
      <c r="A15" s="127">
        <v>4</v>
      </c>
      <c r="B15" s="148" t="s">
        <v>83</v>
      </c>
      <c r="C15" s="131" t="s">
        <v>84</v>
      </c>
      <c r="D15" s="6" t="s">
        <v>5</v>
      </c>
      <c r="E15" s="133">
        <v>45017</v>
      </c>
      <c r="F15" s="213" t="s">
        <v>224</v>
      </c>
      <c r="G15" s="209">
        <v>45187</v>
      </c>
      <c r="H15" s="216">
        <v>16</v>
      </c>
      <c r="I15" s="216">
        <v>0</v>
      </c>
      <c r="J15" s="221" t="s">
        <v>231</v>
      </c>
      <c r="K15" s="143">
        <v>2024</v>
      </c>
      <c r="L15" s="218" t="s">
        <v>228</v>
      </c>
      <c r="M15" s="178" t="s">
        <v>132</v>
      </c>
      <c r="N15" s="177">
        <v>2008</v>
      </c>
      <c r="O15" s="180" t="s">
        <v>59</v>
      </c>
      <c r="P15" s="28">
        <v>48</v>
      </c>
      <c r="Q15" s="123" t="s">
        <v>173</v>
      </c>
      <c r="R15" s="125" t="s">
        <v>10</v>
      </c>
    </row>
    <row r="16" spans="1:18" ht="24.95" customHeight="1" x14ac:dyDescent="0.2">
      <c r="A16" s="128"/>
      <c r="B16" s="149"/>
      <c r="C16" s="132"/>
      <c r="D16" s="3" t="s">
        <v>6</v>
      </c>
      <c r="E16" s="134"/>
      <c r="F16" s="214"/>
      <c r="G16" s="210"/>
      <c r="H16" s="217"/>
      <c r="I16" s="217"/>
      <c r="J16" s="221"/>
      <c r="K16" s="144"/>
      <c r="L16" s="127"/>
      <c r="M16" s="179"/>
      <c r="N16" s="144"/>
      <c r="O16" s="181"/>
      <c r="P16" s="27" t="s">
        <v>130</v>
      </c>
      <c r="Q16" s="124"/>
      <c r="R16" s="147"/>
    </row>
    <row r="17" spans="1:18" ht="24.95" customHeight="1" x14ac:dyDescent="0.2">
      <c r="A17" s="127">
        <v>5</v>
      </c>
      <c r="B17" s="129" t="s">
        <v>11</v>
      </c>
      <c r="C17" s="131" t="s">
        <v>12</v>
      </c>
      <c r="D17" s="6" t="s">
        <v>5</v>
      </c>
      <c r="E17" s="151">
        <v>41913</v>
      </c>
      <c r="F17" s="135" t="s">
        <v>171</v>
      </c>
      <c r="G17" s="209">
        <v>44560</v>
      </c>
      <c r="H17" s="153">
        <v>30</v>
      </c>
      <c r="I17" s="155">
        <v>0</v>
      </c>
      <c r="J17" s="215" t="s">
        <v>60</v>
      </c>
      <c r="K17" s="120">
        <v>2019</v>
      </c>
      <c r="L17" s="218" t="s">
        <v>217</v>
      </c>
      <c r="M17" s="178" t="s">
        <v>132</v>
      </c>
      <c r="N17" s="177">
        <v>1993</v>
      </c>
      <c r="O17" s="180" t="s">
        <v>59</v>
      </c>
      <c r="P17" s="26">
        <v>57</v>
      </c>
      <c r="Q17" s="123" t="s">
        <v>151</v>
      </c>
      <c r="R17" s="125" t="s">
        <v>10</v>
      </c>
    </row>
    <row r="18" spans="1:18" ht="24.95" customHeight="1" x14ac:dyDescent="0.2">
      <c r="A18" s="128"/>
      <c r="B18" s="130"/>
      <c r="C18" s="132"/>
      <c r="D18" s="3" t="s">
        <v>6</v>
      </c>
      <c r="E18" s="152"/>
      <c r="F18" s="136"/>
      <c r="G18" s="210"/>
      <c r="H18" s="154"/>
      <c r="I18" s="156"/>
      <c r="J18" s="215"/>
      <c r="K18" s="120"/>
      <c r="L18" s="127"/>
      <c r="M18" s="179"/>
      <c r="N18" s="144"/>
      <c r="O18" s="181"/>
      <c r="P18" s="27" t="s">
        <v>130</v>
      </c>
      <c r="Q18" s="124"/>
      <c r="R18" s="147"/>
    </row>
    <row r="19" spans="1:18" ht="24.95" customHeight="1" x14ac:dyDescent="0.2">
      <c r="A19" s="127">
        <v>6</v>
      </c>
      <c r="B19" s="129" t="s">
        <v>8</v>
      </c>
      <c r="C19" s="131" t="s">
        <v>9</v>
      </c>
      <c r="D19" s="6" t="s">
        <v>5</v>
      </c>
      <c r="E19" s="133">
        <v>43191</v>
      </c>
      <c r="F19" s="135" t="s">
        <v>170</v>
      </c>
      <c r="G19" s="209">
        <v>44560</v>
      </c>
      <c r="H19" s="190">
        <v>26</v>
      </c>
      <c r="I19" s="190">
        <v>0</v>
      </c>
      <c r="J19" s="215" t="s">
        <v>60</v>
      </c>
      <c r="K19" s="120">
        <v>2013</v>
      </c>
      <c r="L19" s="218" t="s">
        <v>216</v>
      </c>
      <c r="M19" s="178" t="s">
        <v>132</v>
      </c>
      <c r="N19" s="120">
        <v>1999</v>
      </c>
      <c r="O19" s="180" t="s">
        <v>59</v>
      </c>
      <c r="P19" s="28">
        <v>56</v>
      </c>
      <c r="Q19" s="123" t="s">
        <v>152</v>
      </c>
      <c r="R19" s="125" t="s">
        <v>10</v>
      </c>
    </row>
    <row r="20" spans="1:18" ht="24.95" customHeight="1" x14ac:dyDescent="0.2">
      <c r="A20" s="128"/>
      <c r="B20" s="130"/>
      <c r="C20" s="132"/>
      <c r="D20" s="3" t="s">
        <v>6</v>
      </c>
      <c r="E20" s="134"/>
      <c r="F20" s="136"/>
      <c r="G20" s="210"/>
      <c r="H20" s="147"/>
      <c r="I20" s="147"/>
      <c r="J20" s="215"/>
      <c r="K20" s="120"/>
      <c r="L20" s="127"/>
      <c r="M20" s="179"/>
      <c r="N20" s="120"/>
      <c r="O20" s="181"/>
      <c r="P20" s="27" t="s">
        <v>130</v>
      </c>
      <c r="Q20" s="124"/>
      <c r="R20" s="147"/>
    </row>
    <row r="21" spans="1:18" ht="24.95" customHeight="1" x14ac:dyDescent="0.2">
      <c r="A21" s="127">
        <v>7</v>
      </c>
      <c r="B21" s="129" t="s">
        <v>74</v>
      </c>
      <c r="C21" s="131" t="s">
        <v>75</v>
      </c>
      <c r="D21" s="6" t="s">
        <v>5</v>
      </c>
      <c r="E21" s="151">
        <v>43191</v>
      </c>
      <c r="F21" s="135" t="s">
        <v>171</v>
      </c>
      <c r="G21" s="209">
        <v>44560</v>
      </c>
      <c r="H21" s="177">
        <v>24</v>
      </c>
      <c r="I21" s="177">
        <v>0</v>
      </c>
      <c r="J21" s="215" t="s">
        <v>60</v>
      </c>
      <c r="K21" s="120">
        <v>2018</v>
      </c>
      <c r="L21" s="218" t="s">
        <v>218</v>
      </c>
      <c r="M21" s="172" t="s">
        <v>135</v>
      </c>
      <c r="N21" s="120">
        <v>2000</v>
      </c>
      <c r="O21" s="121" t="s">
        <v>59</v>
      </c>
      <c r="P21" s="26">
        <v>50</v>
      </c>
      <c r="Q21" s="123" t="s">
        <v>153</v>
      </c>
      <c r="R21" s="125" t="s">
        <v>10</v>
      </c>
    </row>
    <row r="22" spans="1:18" ht="24.95" customHeight="1" x14ac:dyDescent="0.2">
      <c r="A22" s="128"/>
      <c r="B22" s="130"/>
      <c r="C22" s="132"/>
      <c r="D22" s="3" t="s">
        <v>6</v>
      </c>
      <c r="E22" s="152"/>
      <c r="F22" s="136"/>
      <c r="G22" s="210"/>
      <c r="H22" s="144"/>
      <c r="I22" s="144"/>
      <c r="J22" s="215"/>
      <c r="K22" s="120"/>
      <c r="L22" s="127"/>
      <c r="M22" s="173"/>
      <c r="N22" s="120"/>
      <c r="O22" s="122"/>
      <c r="P22" s="27" t="s">
        <v>130</v>
      </c>
      <c r="Q22" s="124"/>
      <c r="R22" s="147"/>
    </row>
    <row r="23" spans="1:18" ht="24.95" customHeight="1" x14ac:dyDescent="0.2">
      <c r="A23" s="127">
        <v>8</v>
      </c>
      <c r="B23" s="129" t="s">
        <v>46</v>
      </c>
      <c r="C23" s="131" t="s">
        <v>47</v>
      </c>
      <c r="D23" s="6" t="s">
        <v>5</v>
      </c>
      <c r="E23" s="219">
        <v>44287</v>
      </c>
      <c r="F23" s="135" t="s">
        <v>171</v>
      </c>
      <c r="G23" s="209">
        <v>44560</v>
      </c>
      <c r="H23" s="190">
        <v>18</v>
      </c>
      <c r="I23" s="190">
        <v>0</v>
      </c>
      <c r="J23" s="215" t="s">
        <v>60</v>
      </c>
      <c r="K23" s="120">
        <v>2019</v>
      </c>
      <c r="L23" s="218" t="s">
        <v>215</v>
      </c>
      <c r="M23" s="178" t="s">
        <v>132</v>
      </c>
      <c r="N23" s="120">
        <v>2015</v>
      </c>
      <c r="O23" s="180" t="s">
        <v>58</v>
      </c>
      <c r="P23" s="28">
        <v>44</v>
      </c>
      <c r="Q23" s="123" t="s">
        <v>154</v>
      </c>
      <c r="R23" s="125" t="s">
        <v>10</v>
      </c>
    </row>
    <row r="24" spans="1:18" ht="24.95" customHeight="1" x14ac:dyDescent="0.2">
      <c r="A24" s="128"/>
      <c r="B24" s="130"/>
      <c r="C24" s="132"/>
      <c r="D24" s="3" t="s">
        <v>6</v>
      </c>
      <c r="E24" s="220"/>
      <c r="F24" s="136"/>
      <c r="G24" s="210"/>
      <c r="H24" s="147"/>
      <c r="I24" s="147"/>
      <c r="J24" s="215"/>
      <c r="K24" s="120"/>
      <c r="L24" s="127"/>
      <c r="M24" s="179"/>
      <c r="N24" s="120"/>
      <c r="O24" s="181"/>
      <c r="P24" s="27" t="s">
        <v>130</v>
      </c>
      <c r="Q24" s="124"/>
      <c r="R24" s="147"/>
    </row>
    <row r="25" spans="1:18" ht="24.95" customHeight="1" x14ac:dyDescent="0.2">
      <c r="A25" s="127">
        <v>9</v>
      </c>
      <c r="B25" s="148" t="s">
        <v>52</v>
      </c>
      <c r="C25" s="191" t="s">
        <v>53</v>
      </c>
      <c r="D25" s="6" t="s">
        <v>5</v>
      </c>
      <c r="E25" s="211">
        <v>44652</v>
      </c>
      <c r="F25" s="135" t="s">
        <v>172</v>
      </c>
      <c r="G25" s="209">
        <v>44560</v>
      </c>
      <c r="H25" s="190">
        <v>22</v>
      </c>
      <c r="I25" s="190">
        <v>0</v>
      </c>
      <c r="J25" s="207" t="s">
        <v>221</v>
      </c>
      <c r="K25" s="143">
        <v>2021</v>
      </c>
      <c r="L25" s="218" t="s">
        <v>220</v>
      </c>
      <c r="M25" s="178" t="s">
        <v>132</v>
      </c>
      <c r="N25" s="177">
        <v>2000</v>
      </c>
      <c r="O25" s="180" t="s">
        <v>59</v>
      </c>
      <c r="P25" s="28">
        <v>49</v>
      </c>
      <c r="Q25" s="123" t="s">
        <v>155</v>
      </c>
      <c r="R25" s="125" t="s">
        <v>10</v>
      </c>
    </row>
    <row r="26" spans="1:18" ht="24.95" customHeight="1" x14ac:dyDescent="0.2">
      <c r="A26" s="128"/>
      <c r="B26" s="149"/>
      <c r="C26" s="192"/>
      <c r="D26" s="3" t="s">
        <v>6</v>
      </c>
      <c r="E26" s="212"/>
      <c r="F26" s="136"/>
      <c r="G26" s="210"/>
      <c r="H26" s="147"/>
      <c r="I26" s="147"/>
      <c r="J26" s="208"/>
      <c r="K26" s="144"/>
      <c r="L26" s="127"/>
      <c r="M26" s="179"/>
      <c r="N26" s="144"/>
      <c r="O26" s="181"/>
      <c r="P26" s="27" t="s">
        <v>130</v>
      </c>
      <c r="Q26" s="124"/>
      <c r="R26" s="147"/>
    </row>
    <row r="27" spans="1:18" ht="24.95" customHeight="1" x14ac:dyDescent="0.2">
      <c r="A27" s="127">
        <v>10</v>
      </c>
      <c r="B27" s="148" t="s">
        <v>596</v>
      </c>
      <c r="C27" s="191" t="s">
        <v>597</v>
      </c>
      <c r="D27" s="6" t="s">
        <v>5</v>
      </c>
      <c r="E27" s="211">
        <v>44652</v>
      </c>
      <c r="F27" s="135" t="s">
        <v>598</v>
      </c>
      <c r="G27" s="209">
        <v>46023</v>
      </c>
      <c r="H27" s="190">
        <v>14</v>
      </c>
      <c r="I27" s="190">
        <v>0</v>
      </c>
      <c r="J27" s="207" t="s">
        <v>10</v>
      </c>
      <c r="K27" s="207" t="s">
        <v>10</v>
      </c>
      <c r="L27" s="207" t="s">
        <v>10</v>
      </c>
      <c r="M27" s="178"/>
      <c r="N27" s="177"/>
      <c r="O27" s="180" t="s">
        <v>58</v>
      </c>
      <c r="P27" s="28">
        <v>42</v>
      </c>
      <c r="Q27" s="123" t="s">
        <v>599</v>
      </c>
      <c r="R27" s="125" t="s">
        <v>10</v>
      </c>
    </row>
    <row r="28" spans="1:18" ht="24.95" customHeight="1" x14ac:dyDescent="0.2">
      <c r="A28" s="128"/>
      <c r="B28" s="149"/>
      <c r="C28" s="192"/>
      <c r="D28" s="3" t="s">
        <v>6</v>
      </c>
      <c r="E28" s="212"/>
      <c r="F28" s="136"/>
      <c r="G28" s="210"/>
      <c r="H28" s="147"/>
      <c r="I28" s="147"/>
      <c r="J28" s="208"/>
      <c r="K28" s="208"/>
      <c r="L28" s="208"/>
      <c r="M28" s="179"/>
      <c r="N28" s="144"/>
      <c r="O28" s="181"/>
      <c r="P28" s="27" t="s">
        <v>130</v>
      </c>
      <c r="Q28" s="124"/>
      <c r="R28" s="147"/>
    </row>
    <row r="29" spans="1:18" ht="24.95" customHeight="1" x14ac:dyDescent="0.2">
      <c r="A29" s="127">
        <v>11</v>
      </c>
      <c r="B29" s="129" t="s">
        <v>76</v>
      </c>
      <c r="C29" s="131" t="s">
        <v>77</v>
      </c>
      <c r="D29" s="6" t="s">
        <v>5</v>
      </c>
      <c r="E29" s="133">
        <v>45017</v>
      </c>
      <c r="F29" s="135" t="s">
        <v>171</v>
      </c>
      <c r="G29" s="209">
        <v>44560</v>
      </c>
      <c r="H29" s="190">
        <v>22</v>
      </c>
      <c r="I29" s="190">
        <v>0</v>
      </c>
      <c r="J29" s="141" t="s">
        <v>10</v>
      </c>
      <c r="K29" s="143" t="s">
        <v>10</v>
      </c>
      <c r="L29" s="143" t="s">
        <v>10</v>
      </c>
      <c r="M29" s="169" t="s">
        <v>136</v>
      </c>
      <c r="N29" s="120">
        <v>2011</v>
      </c>
      <c r="O29" s="193" t="s">
        <v>59</v>
      </c>
      <c r="P29" s="26">
        <v>54</v>
      </c>
      <c r="Q29" s="123" t="s">
        <v>156</v>
      </c>
      <c r="R29" s="125" t="s">
        <v>10</v>
      </c>
    </row>
    <row r="30" spans="1:18" ht="24.95" customHeight="1" x14ac:dyDescent="0.2">
      <c r="A30" s="128"/>
      <c r="B30" s="130"/>
      <c r="C30" s="132"/>
      <c r="D30" s="3" t="s">
        <v>6</v>
      </c>
      <c r="E30" s="134"/>
      <c r="F30" s="136"/>
      <c r="G30" s="210"/>
      <c r="H30" s="147"/>
      <c r="I30" s="147"/>
      <c r="J30" s="142"/>
      <c r="K30" s="144"/>
      <c r="L30" s="144"/>
      <c r="M30" s="170"/>
      <c r="N30" s="120"/>
      <c r="O30" s="194"/>
      <c r="P30" s="27" t="s">
        <v>130</v>
      </c>
      <c r="Q30" s="124"/>
      <c r="R30" s="147"/>
    </row>
    <row r="31" spans="1:18" ht="24.95" customHeight="1" x14ac:dyDescent="0.2">
      <c r="A31" s="127">
        <v>12</v>
      </c>
      <c r="B31" s="148" t="s">
        <v>54</v>
      </c>
      <c r="C31" s="191" t="s">
        <v>51</v>
      </c>
      <c r="D31" s="6" t="s">
        <v>5</v>
      </c>
      <c r="E31" s="133">
        <v>45017</v>
      </c>
      <c r="F31" s="135" t="s">
        <v>171</v>
      </c>
      <c r="G31" s="209">
        <v>44560</v>
      </c>
      <c r="H31" s="139">
        <v>18</v>
      </c>
      <c r="I31" s="139">
        <v>0</v>
      </c>
      <c r="J31" s="215" t="s">
        <v>60</v>
      </c>
      <c r="K31" s="120">
        <v>2019</v>
      </c>
      <c r="L31" s="218" t="s">
        <v>219</v>
      </c>
      <c r="M31" s="188" t="str">
        <f>M29</f>
        <v>STIE KRIDATAMA</v>
      </c>
      <c r="N31" s="177">
        <v>2009</v>
      </c>
      <c r="O31" s="180" t="s">
        <v>59</v>
      </c>
      <c r="P31" s="28">
        <v>42</v>
      </c>
      <c r="Q31" s="123" t="s">
        <v>92</v>
      </c>
      <c r="R31" s="125" t="s">
        <v>10</v>
      </c>
    </row>
    <row r="32" spans="1:18" ht="24.95" customHeight="1" x14ac:dyDescent="0.2">
      <c r="A32" s="128"/>
      <c r="B32" s="149"/>
      <c r="C32" s="192"/>
      <c r="D32" s="3" t="s">
        <v>6</v>
      </c>
      <c r="E32" s="134"/>
      <c r="F32" s="136"/>
      <c r="G32" s="210"/>
      <c r="H32" s="140"/>
      <c r="I32" s="140"/>
      <c r="J32" s="215"/>
      <c r="K32" s="120"/>
      <c r="L32" s="127"/>
      <c r="M32" s="189"/>
      <c r="N32" s="144"/>
      <c r="O32" s="181"/>
      <c r="P32" s="27" t="s">
        <v>130</v>
      </c>
      <c r="Q32" s="124"/>
      <c r="R32" s="147"/>
    </row>
    <row r="33" spans="1:18" ht="24.95" customHeight="1" x14ac:dyDescent="0.2">
      <c r="A33" s="127">
        <v>13</v>
      </c>
      <c r="B33" s="148" t="s">
        <v>35</v>
      </c>
      <c r="C33" s="131" t="s">
        <v>18</v>
      </c>
      <c r="D33" s="6" t="s">
        <v>5</v>
      </c>
      <c r="E33" s="133">
        <v>45017</v>
      </c>
      <c r="F33" s="135" t="s">
        <v>170</v>
      </c>
      <c r="G33" s="209">
        <v>44560</v>
      </c>
      <c r="H33" s="216">
        <v>16</v>
      </c>
      <c r="I33" s="216">
        <v>0</v>
      </c>
      <c r="J33" s="141" t="s">
        <v>10</v>
      </c>
      <c r="K33" s="143" t="s">
        <v>10</v>
      </c>
      <c r="L33" s="143" t="s">
        <v>10</v>
      </c>
      <c r="M33" s="178" t="s">
        <v>132</v>
      </c>
      <c r="N33" s="177">
        <v>2000</v>
      </c>
      <c r="O33" s="180" t="s">
        <v>59</v>
      </c>
      <c r="P33" s="26">
        <v>49</v>
      </c>
      <c r="Q33" s="123" t="s">
        <v>157</v>
      </c>
      <c r="R33" s="125" t="s">
        <v>10</v>
      </c>
    </row>
    <row r="34" spans="1:18" ht="24.95" customHeight="1" x14ac:dyDescent="0.2">
      <c r="A34" s="128"/>
      <c r="B34" s="149"/>
      <c r="C34" s="132"/>
      <c r="D34" s="3" t="s">
        <v>6</v>
      </c>
      <c r="E34" s="134"/>
      <c r="F34" s="136"/>
      <c r="G34" s="210"/>
      <c r="H34" s="217"/>
      <c r="I34" s="217"/>
      <c r="J34" s="142"/>
      <c r="K34" s="144"/>
      <c r="L34" s="144"/>
      <c r="M34" s="179"/>
      <c r="N34" s="144"/>
      <c r="O34" s="181"/>
      <c r="P34" s="27" t="s">
        <v>130</v>
      </c>
      <c r="Q34" s="124"/>
      <c r="R34" s="147"/>
    </row>
    <row r="35" spans="1:18" ht="24.95" customHeight="1" x14ac:dyDescent="0.2">
      <c r="A35" s="127">
        <v>14</v>
      </c>
      <c r="B35" s="129" t="s">
        <v>234</v>
      </c>
      <c r="C35" s="131" t="s">
        <v>101</v>
      </c>
      <c r="D35" s="6" t="s">
        <v>5</v>
      </c>
      <c r="E35" s="151">
        <v>45566</v>
      </c>
      <c r="F35" s="135" t="s">
        <v>100</v>
      </c>
      <c r="G35" s="137">
        <v>43724</v>
      </c>
      <c r="H35" s="139">
        <v>16</v>
      </c>
      <c r="I35" s="139">
        <v>0</v>
      </c>
      <c r="J35" s="215" t="s">
        <v>60</v>
      </c>
      <c r="K35" s="143">
        <v>2022</v>
      </c>
      <c r="L35" s="143">
        <v>851</v>
      </c>
      <c r="M35" s="169" t="s">
        <v>235</v>
      </c>
      <c r="N35" s="120">
        <v>2023</v>
      </c>
      <c r="O35" s="193" t="s">
        <v>58</v>
      </c>
      <c r="P35" s="26">
        <v>41</v>
      </c>
      <c r="Q35" s="123" t="s">
        <v>89</v>
      </c>
      <c r="R35" s="125" t="s">
        <v>10</v>
      </c>
    </row>
    <row r="36" spans="1:18" ht="24.95" customHeight="1" x14ac:dyDescent="0.2">
      <c r="A36" s="128"/>
      <c r="B36" s="130"/>
      <c r="C36" s="132"/>
      <c r="D36" s="3" t="s">
        <v>6</v>
      </c>
      <c r="E36" s="152"/>
      <c r="F36" s="136"/>
      <c r="G36" s="138"/>
      <c r="H36" s="140"/>
      <c r="I36" s="140"/>
      <c r="J36" s="215"/>
      <c r="K36" s="144"/>
      <c r="L36" s="144"/>
      <c r="M36" s="170"/>
      <c r="N36" s="120"/>
      <c r="O36" s="194"/>
      <c r="P36" s="27" t="s">
        <v>130</v>
      </c>
      <c r="Q36" s="124"/>
      <c r="R36" s="147"/>
    </row>
    <row r="37" spans="1:18" ht="24.95" customHeight="1" x14ac:dyDescent="0.2">
      <c r="A37" s="127">
        <v>15</v>
      </c>
      <c r="B37" s="129" t="s">
        <v>98</v>
      </c>
      <c r="C37" s="131" t="s">
        <v>20</v>
      </c>
      <c r="D37" s="6" t="s">
        <v>5</v>
      </c>
      <c r="E37" s="151">
        <v>45689</v>
      </c>
      <c r="F37" s="213" t="s">
        <v>173</v>
      </c>
      <c r="G37" s="209">
        <v>44560</v>
      </c>
      <c r="H37" s="139">
        <v>16</v>
      </c>
      <c r="I37" s="139">
        <v>0</v>
      </c>
      <c r="J37" s="141" t="s">
        <v>10</v>
      </c>
      <c r="K37" s="143" t="s">
        <v>10</v>
      </c>
      <c r="L37" s="143" t="s">
        <v>10</v>
      </c>
      <c r="M37" s="172" t="s">
        <v>132</v>
      </c>
      <c r="N37" s="120">
        <v>2012</v>
      </c>
      <c r="O37" s="121" t="s">
        <v>59</v>
      </c>
      <c r="P37" s="28">
        <v>40</v>
      </c>
      <c r="Q37" s="123" t="s">
        <v>158</v>
      </c>
      <c r="R37" s="125" t="s">
        <v>10</v>
      </c>
    </row>
    <row r="38" spans="1:18" ht="24.95" customHeight="1" x14ac:dyDescent="0.2">
      <c r="A38" s="128"/>
      <c r="B38" s="130"/>
      <c r="C38" s="132"/>
      <c r="D38" s="3" t="s">
        <v>6</v>
      </c>
      <c r="E38" s="152"/>
      <c r="F38" s="214"/>
      <c r="G38" s="210"/>
      <c r="H38" s="140"/>
      <c r="I38" s="140"/>
      <c r="J38" s="142"/>
      <c r="K38" s="144"/>
      <c r="L38" s="144"/>
      <c r="M38" s="173"/>
      <c r="N38" s="120"/>
      <c r="O38" s="122"/>
      <c r="P38" s="27" t="s">
        <v>130</v>
      </c>
      <c r="Q38" s="124"/>
      <c r="R38" s="147"/>
    </row>
    <row r="39" spans="1:18" ht="24.95" customHeight="1" x14ac:dyDescent="0.2">
      <c r="A39" s="127">
        <v>16</v>
      </c>
      <c r="B39" s="148" t="s">
        <v>112</v>
      </c>
      <c r="C39" s="191" t="s">
        <v>21</v>
      </c>
      <c r="D39" s="6" t="s">
        <v>5</v>
      </c>
      <c r="E39" s="211">
        <v>45809</v>
      </c>
      <c r="F39" s="213" t="s">
        <v>173</v>
      </c>
      <c r="G39" s="209">
        <v>44560</v>
      </c>
      <c r="H39" s="177">
        <v>16</v>
      </c>
      <c r="I39" s="177">
        <v>5</v>
      </c>
      <c r="J39" s="141" t="s">
        <v>10</v>
      </c>
      <c r="K39" s="143" t="s">
        <v>10</v>
      </c>
      <c r="L39" s="143" t="s">
        <v>10</v>
      </c>
      <c r="M39" s="145" t="str">
        <f>M25</f>
        <v>UNIGA</v>
      </c>
      <c r="N39" s="120">
        <v>2010</v>
      </c>
      <c r="O39" s="121" t="s">
        <v>59</v>
      </c>
      <c r="P39" s="26">
        <v>40</v>
      </c>
      <c r="Q39" s="123" t="s">
        <v>159</v>
      </c>
      <c r="R39" s="125" t="s">
        <v>10</v>
      </c>
    </row>
    <row r="40" spans="1:18" ht="24.95" customHeight="1" x14ac:dyDescent="0.2">
      <c r="A40" s="128"/>
      <c r="B40" s="149"/>
      <c r="C40" s="192"/>
      <c r="D40" s="3" t="s">
        <v>6</v>
      </c>
      <c r="E40" s="212"/>
      <c r="F40" s="214"/>
      <c r="G40" s="210"/>
      <c r="H40" s="144"/>
      <c r="I40" s="144"/>
      <c r="J40" s="142"/>
      <c r="K40" s="144"/>
      <c r="L40" s="144"/>
      <c r="M40" s="146"/>
      <c r="N40" s="120"/>
      <c r="O40" s="122"/>
      <c r="P40" s="27" t="s">
        <v>130</v>
      </c>
      <c r="Q40" s="124"/>
      <c r="R40" s="147"/>
    </row>
    <row r="41" spans="1:18" ht="24.95" customHeight="1" x14ac:dyDescent="0.2">
      <c r="A41" s="127">
        <v>17</v>
      </c>
      <c r="B41" s="148" t="s">
        <v>63</v>
      </c>
      <c r="C41" s="131" t="s">
        <v>64</v>
      </c>
      <c r="D41" s="6" t="s">
        <v>96</v>
      </c>
      <c r="E41" s="151">
        <v>44287</v>
      </c>
      <c r="F41" s="135" t="s">
        <v>171</v>
      </c>
      <c r="G41" s="209">
        <v>44560</v>
      </c>
      <c r="H41" s="190">
        <v>18</v>
      </c>
      <c r="I41" s="190">
        <v>0</v>
      </c>
      <c r="J41" s="141" t="s">
        <v>10</v>
      </c>
      <c r="K41" s="143" t="s">
        <v>10</v>
      </c>
      <c r="L41" s="143" t="s">
        <v>10</v>
      </c>
      <c r="M41" s="145" t="s">
        <v>138</v>
      </c>
      <c r="N41" s="177">
        <v>2006</v>
      </c>
      <c r="O41" s="121" t="s">
        <v>59</v>
      </c>
      <c r="P41" s="26">
        <v>51</v>
      </c>
      <c r="Q41" s="123" t="s">
        <v>99</v>
      </c>
      <c r="R41" s="125" t="s">
        <v>10</v>
      </c>
    </row>
    <row r="42" spans="1:18" ht="24.95" customHeight="1" x14ac:dyDescent="0.2">
      <c r="A42" s="128"/>
      <c r="B42" s="149"/>
      <c r="C42" s="132"/>
      <c r="D42" s="3" t="s">
        <v>7</v>
      </c>
      <c r="E42" s="152"/>
      <c r="F42" s="136"/>
      <c r="G42" s="210"/>
      <c r="H42" s="147"/>
      <c r="I42" s="147"/>
      <c r="J42" s="142"/>
      <c r="K42" s="144"/>
      <c r="L42" s="144"/>
      <c r="M42" s="146"/>
      <c r="N42" s="144"/>
      <c r="O42" s="122"/>
      <c r="P42" s="27" t="s">
        <v>130</v>
      </c>
      <c r="Q42" s="124"/>
      <c r="R42" s="147"/>
    </row>
    <row r="43" spans="1:18" ht="24.95" customHeight="1" x14ac:dyDescent="0.2">
      <c r="A43" s="127">
        <v>18</v>
      </c>
      <c r="B43" s="148" t="s">
        <v>27</v>
      </c>
      <c r="C43" s="131" t="s">
        <v>28</v>
      </c>
      <c r="D43" s="6" t="s">
        <v>96</v>
      </c>
      <c r="E43" s="151">
        <v>45017</v>
      </c>
      <c r="F43" s="135" t="s">
        <v>223</v>
      </c>
      <c r="G43" s="137">
        <v>44932</v>
      </c>
      <c r="H43" s="153">
        <v>22</v>
      </c>
      <c r="I43" s="155">
        <v>0</v>
      </c>
      <c r="J43" s="207" t="s">
        <v>226</v>
      </c>
      <c r="K43" s="143">
        <v>2023</v>
      </c>
      <c r="L43" s="143">
        <v>905</v>
      </c>
      <c r="M43" s="169" t="s">
        <v>140</v>
      </c>
      <c r="N43" s="120">
        <v>1995</v>
      </c>
      <c r="O43" s="193" t="s">
        <v>115</v>
      </c>
      <c r="P43" s="28">
        <v>55</v>
      </c>
      <c r="Q43" s="202" t="s">
        <v>89</v>
      </c>
      <c r="R43" s="125" t="s">
        <v>10</v>
      </c>
    </row>
    <row r="44" spans="1:18" ht="24.95" customHeight="1" x14ac:dyDescent="0.2">
      <c r="A44" s="128"/>
      <c r="B44" s="149"/>
      <c r="C44" s="132"/>
      <c r="D44" s="3" t="s">
        <v>7</v>
      </c>
      <c r="E44" s="152"/>
      <c r="F44" s="136"/>
      <c r="G44" s="138"/>
      <c r="H44" s="154"/>
      <c r="I44" s="156"/>
      <c r="J44" s="208"/>
      <c r="K44" s="144"/>
      <c r="L44" s="144"/>
      <c r="M44" s="170"/>
      <c r="N44" s="120"/>
      <c r="O44" s="194"/>
      <c r="P44" s="27" t="s">
        <v>130</v>
      </c>
      <c r="Q44" s="203"/>
      <c r="R44" s="147"/>
    </row>
    <row r="45" spans="1:18" ht="24.95" customHeight="1" x14ac:dyDescent="0.2">
      <c r="A45" s="127">
        <v>19</v>
      </c>
      <c r="B45" s="129" t="s">
        <v>17</v>
      </c>
      <c r="C45" s="131" t="s">
        <v>42</v>
      </c>
      <c r="D45" s="6" t="s">
        <v>96</v>
      </c>
      <c r="E45" s="151">
        <v>44470</v>
      </c>
      <c r="F45" s="135" t="s">
        <v>600</v>
      </c>
      <c r="G45" s="137">
        <v>46023</v>
      </c>
      <c r="H45" s="204">
        <v>18</v>
      </c>
      <c r="I45" s="206">
        <v>0</v>
      </c>
      <c r="J45" s="141" t="s">
        <v>10</v>
      </c>
      <c r="K45" s="143" t="s">
        <v>10</v>
      </c>
      <c r="L45" s="143" t="s">
        <v>10</v>
      </c>
      <c r="M45" s="200" t="s">
        <v>132</v>
      </c>
      <c r="N45" s="120">
        <v>1999</v>
      </c>
      <c r="O45" s="193" t="s">
        <v>115</v>
      </c>
      <c r="P45" s="28">
        <v>50</v>
      </c>
      <c r="Q45" s="202" t="s">
        <v>160</v>
      </c>
      <c r="R45" s="125" t="s">
        <v>10</v>
      </c>
    </row>
    <row r="46" spans="1:18" ht="24.95" customHeight="1" x14ac:dyDescent="0.2">
      <c r="A46" s="128"/>
      <c r="B46" s="130"/>
      <c r="C46" s="132"/>
      <c r="D46" s="3" t="s">
        <v>7</v>
      </c>
      <c r="E46" s="152"/>
      <c r="F46" s="136"/>
      <c r="G46" s="138"/>
      <c r="H46" s="205"/>
      <c r="I46" s="206"/>
      <c r="J46" s="142"/>
      <c r="K46" s="144"/>
      <c r="L46" s="144"/>
      <c r="M46" s="201"/>
      <c r="N46" s="120"/>
      <c r="O46" s="194"/>
      <c r="P46" s="27" t="s">
        <v>130</v>
      </c>
      <c r="Q46" s="203"/>
      <c r="R46" s="147"/>
    </row>
    <row r="47" spans="1:18" ht="24.95" customHeight="1" x14ac:dyDescent="0.2">
      <c r="A47" s="127">
        <v>20</v>
      </c>
      <c r="B47" s="148" t="s">
        <v>78</v>
      </c>
      <c r="C47" s="131" t="s">
        <v>79</v>
      </c>
      <c r="D47" s="6" t="s">
        <v>96</v>
      </c>
      <c r="E47" s="151">
        <v>45017</v>
      </c>
      <c r="F47" s="135" t="s">
        <v>598</v>
      </c>
      <c r="G47" s="137">
        <v>46023</v>
      </c>
      <c r="H47" s="139">
        <v>22</v>
      </c>
      <c r="I47" s="139">
        <v>0</v>
      </c>
      <c r="J47" s="141" t="s">
        <v>10</v>
      </c>
      <c r="K47" s="143" t="s">
        <v>10</v>
      </c>
      <c r="L47" s="143" t="s">
        <v>10</v>
      </c>
      <c r="M47" s="186" t="s">
        <v>132</v>
      </c>
      <c r="N47" s="120">
        <v>1999</v>
      </c>
      <c r="O47" s="184" t="s">
        <v>59</v>
      </c>
      <c r="P47" s="28">
        <v>50</v>
      </c>
      <c r="Q47" s="123" t="s">
        <v>163</v>
      </c>
      <c r="R47" s="125" t="s">
        <v>10</v>
      </c>
    </row>
    <row r="48" spans="1:18" ht="24.95" customHeight="1" x14ac:dyDescent="0.2">
      <c r="A48" s="128"/>
      <c r="B48" s="149"/>
      <c r="C48" s="132"/>
      <c r="D48" s="3" t="s">
        <v>7</v>
      </c>
      <c r="E48" s="152"/>
      <c r="F48" s="136"/>
      <c r="G48" s="138"/>
      <c r="H48" s="140"/>
      <c r="I48" s="140"/>
      <c r="J48" s="142"/>
      <c r="K48" s="144"/>
      <c r="L48" s="144"/>
      <c r="M48" s="187"/>
      <c r="N48" s="120"/>
      <c r="O48" s="185"/>
      <c r="P48" s="27" t="s">
        <v>130</v>
      </c>
      <c r="Q48" s="124"/>
      <c r="R48" s="147"/>
    </row>
    <row r="49" spans="1:18" ht="24.95" customHeight="1" x14ac:dyDescent="0.2">
      <c r="A49" s="127">
        <v>21</v>
      </c>
      <c r="B49" s="148" t="s">
        <v>23</v>
      </c>
      <c r="C49" s="131" t="s">
        <v>24</v>
      </c>
      <c r="D49" s="6" t="s">
        <v>96</v>
      </c>
      <c r="E49" s="151">
        <v>45017</v>
      </c>
      <c r="F49" s="135" t="s">
        <v>600</v>
      </c>
      <c r="G49" s="137">
        <v>46023</v>
      </c>
      <c r="H49" s="177">
        <v>22</v>
      </c>
      <c r="I49" s="177">
        <v>0</v>
      </c>
      <c r="J49" s="141" t="s">
        <v>10</v>
      </c>
      <c r="K49" s="143" t="s">
        <v>10</v>
      </c>
      <c r="L49" s="143" t="s">
        <v>10</v>
      </c>
      <c r="M49" s="186" t="s">
        <v>132</v>
      </c>
      <c r="N49" s="120">
        <v>1999</v>
      </c>
      <c r="O49" s="184" t="s">
        <v>115</v>
      </c>
      <c r="P49" s="28">
        <v>56</v>
      </c>
      <c r="Q49" s="123" t="s">
        <v>162</v>
      </c>
      <c r="R49" s="125" t="s">
        <v>10</v>
      </c>
    </row>
    <row r="50" spans="1:18" ht="24.95" customHeight="1" x14ac:dyDescent="0.2">
      <c r="A50" s="128"/>
      <c r="B50" s="149"/>
      <c r="C50" s="132"/>
      <c r="D50" s="3" t="s">
        <v>7</v>
      </c>
      <c r="E50" s="152"/>
      <c r="F50" s="136"/>
      <c r="G50" s="138"/>
      <c r="H50" s="144"/>
      <c r="I50" s="144"/>
      <c r="J50" s="142"/>
      <c r="K50" s="144"/>
      <c r="L50" s="144"/>
      <c r="M50" s="187"/>
      <c r="N50" s="120"/>
      <c r="O50" s="185"/>
      <c r="P50" s="27" t="s">
        <v>130</v>
      </c>
      <c r="Q50" s="124"/>
      <c r="R50" s="147"/>
    </row>
    <row r="51" spans="1:18" ht="24.95" customHeight="1" x14ac:dyDescent="0.2">
      <c r="A51" s="127">
        <v>22</v>
      </c>
      <c r="B51" s="129" t="s">
        <v>36</v>
      </c>
      <c r="C51" s="131" t="s">
        <v>37</v>
      </c>
      <c r="D51" s="6" t="s">
        <v>96</v>
      </c>
      <c r="E51" s="151">
        <v>45017</v>
      </c>
      <c r="F51" s="135" t="s">
        <v>598</v>
      </c>
      <c r="G51" s="137">
        <v>46023</v>
      </c>
      <c r="H51" s="198">
        <v>20</v>
      </c>
      <c r="I51" s="198">
        <v>0</v>
      </c>
      <c r="J51" s="141" t="s">
        <v>10</v>
      </c>
      <c r="K51" s="143" t="s">
        <v>10</v>
      </c>
      <c r="L51" s="143" t="s">
        <v>10</v>
      </c>
      <c r="M51" s="145" t="s">
        <v>133</v>
      </c>
      <c r="N51" s="120">
        <v>2000</v>
      </c>
      <c r="O51" s="121" t="s">
        <v>59</v>
      </c>
      <c r="P51" s="26">
        <v>49</v>
      </c>
      <c r="Q51" s="123" t="s">
        <v>107</v>
      </c>
      <c r="R51" s="125" t="s">
        <v>10</v>
      </c>
    </row>
    <row r="52" spans="1:18" ht="24.95" customHeight="1" x14ac:dyDescent="0.2">
      <c r="A52" s="128"/>
      <c r="B52" s="197"/>
      <c r="C52" s="132"/>
      <c r="D52" s="3" t="s">
        <v>7</v>
      </c>
      <c r="E52" s="152"/>
      <c r="F52" s="136"/>
      <c r="G52" s="138"/>
      <c r="H52" s="199"/>
      <c r="I52" s="199"/>
      <c r="J52" s="142"/>
      <c r="K52" s="144"/>
      <c r="L52" s="144"/>
      <c r="M52" s="146"/>
      <c r="N52" s="120"/>
      <c r="O52" s="122"/>
      <c r="P52" s="27" t="s">
        <v>130</v>
      </c>
      <c r="Q52" s="124"/>
      <c r="R52" s="126"/>
    </row>
    <row r="53" spans="1:18" ht="24.95" customHeight="1" x14ac:dyDescent="0.2">
      <c r="A53" s="127">
        <v>23</v>
      </c>
      <c r="B53" s="148" t="s">
        <v>225</v>
      </c>
      <c r="C53" s="131" t="s">
        <v>66</v>
      </c>
      <c r="D53" s="6" t="s">
        <v>96</v>
      </c>
      <c r="E53" s="151">
        <v>45200</v>
      </c>
      <c r="F53" s="135" t="s">
        <v>598</v>
      </c>
      <c r="G53" s="137">
        <v>46023</v>
      </c>
      <c r="H53" s="174">
        <v>20</v>
      </c>
      <c r="I53" s="174">
        <v>0</v>
      </c>
      <c r="J53" s="141" t="s">
        <v>10</v>
      </c>
      <c r="K53" s="143" t="s">
        <v>10</v>
      </c>
      <c r="L53" s="143" t="s">
        <v>10</v>
      </c>
      <c r="M53" s="169" t="s">
        <v>133</v>
      </c>
      <c r="N53" s="120">
        <v>2022</v>
      </c>
      <c r="O53" s="193" t="s">
        <v>59</v>
      </c>
      <c r="P53" s="28">
        <v>47</v>
      </c>
      <c r="Q53" s="123" t="s">
        <v>164</v>
      </c>
      <c r="R53" s="125" t="s">
        <v>10</v>
      </c>
    </row>
    <row r="54" spans="1:18" ht="24.95" customHeight="1" x14ac:dyDescent="0.2">
      <c r="A54" s="128"/>
      <c r="B54" s="149"/>
      <c r="C54" s="132"/>
      <c r="D54" s="3" t="s">
        <v>7</v>
      </c>
      <c r="E54" s="152"/>
      <c r="F54" s="136"/>
      <c r="G54" s="138"/>
      <c r="H54" s="175"/>
      <c r="I54" s="175"/>
      <c r="J54" s="142"/>
      <c r="K54" s="144"/>
      <c r="L54" s="144"/>
      <c r="M54" s="170"/>
      <c r="N54" s="120"/>
      <c r="O54" s="194"/>
      <c r="P54" s="27" t="s">
        <v>130</v>
      </c>
      <c r="Q54" s="124"/>
      <c r="R54" s="126"/>
    </row>
    <row r="55" spans="1:18" ht="24.95" customHeight="1" x14ac:dyDescent="0.2">
      <c r="A55" s="127">
        <v>24</v>
      </c>
      <c r="B55" s="129" t="s">
        <v>19</v>
      </c>
      <c r="C55" s="131" t="s">
        <v>102</v>
      </c>
      <c r="D55" s="6" t="s">
        <v>96</v>
      </c>
      <c r="E55" s="133">
        <v>45931</v>
      </c>
      <c r="F55" s="135" t="s">
        <v>598</v>
      </c>
      <c r="G55" s="137">
        <v>46023</v>
      </c>
      <c r="H55" s="139">
        <v>20</v>
      </c>
      <c r="I55" s="139">
        <v>9</v>
      </c>
      <c r="J55" s="141" t="s">
        <v>10</v>
      </c>
      <c r="K55" s="143" t="s">
        <v>10</v>
      </c>
      <c r="L55" s="143" t="s">
        <v>10</v>
      </c>
      <c r="M55" s="172" t="s">
        <v>132</v>
      </c>
      <c r="N55" s="177">
        <v>2004</v>
      </c>
      <c r="O55" s="121" t="s">
        <v>59</v>
      </c>
      <c r="P55" s="26">
        <v>44</v>
      </c>
      <c r="Q55" s="123" t="s">
        <v>166</v>
      </c>
      <c r="R55" s="125" t="s">
        <v>10</v>
      </c>
    </row>
    <row r="56" spans="1:18" ht="24.95" customHeight="1" x14ac:dyDescent="0.2">
      <c r="A56" s="128"/>
      <c r="B56" s="130"/>
      <c r="C56" s="132"/>
      <c r="D56" s="3" t="s">
        <v>7</v>
      </c>
      <c r="E56" s="134"/>
      <c r="F56" s="136"/>
      <c r="G56" s="138"/>
      <c r="H56" s="140"/>
      <c r="I56" s="140"/>
      <c r="J56" s="196"/>
      <c r="K56" s="195"/>
      <c r="L56" s="144"/>
      <c r="M56" s="173"/>
      <c r="N56" s="144"/>
      <c r="O56" s="122"/>
      <c r="P56" s="27" t="s">
        <v>130</v>
      </c>
      <c r="Q56" s="124"/>
      <c r="R56" s="126"/>
    </row>
    <row r="57" spans="1:18" ht="24.95" customHeight="1" x14ac:dyDescent="0.2">
      <c r="A57" s="127">
        <v>25</v>
      </c>
      <c r="B57" s="129" t="s">
        <v>85</v>
      </c>
      <c r="C57" s="131" t="s">
        <v>38</v>
      </c>
      <c r="D57" s="6" t="s">
        <v>96</v>
      </c>
      <c r="E57" s="133">
        <v>45931</v>
      </c>
      <c r="F57" s="135" t="s">
        <v>598</v>
      </c>
      <c r="G57" s="137">
        <v>46023</v>
      </c>
      <c r="H57" s="139">
        <v>16</v>
      </c>
      <c r="I57" s="139">
        <v>0</v>
      </c>
      <c r="J57" s="141" t="s">
        <v>10</v>
      </c>
      <c r="K57" s="143" t="s">
        <v>10</v>
      </c>
      <c r="L57" s="143" t="s">
        <v>10</v>
      </c>
      <c r="M57" s="172" t="s">
        <v>132</v>
      </c>
      <c r="N57" s="120">
        <v>1992</v>
      </c>
      <c r="O57" s="121" t="s">
        <v>59</v>
      </c>
      <c r="P57" s="26">
        <v>51</v>
      </c>
      <c r="Q57" s="123" t="s">
        <v>107</v>
      </c>
      <c r="R57" s="125" t="s">
        <v>10</v>
      </c>
    </row>
    <row r="58" spans="1:18" ht="24.95" customHeight="1" x14ac:dyDescent="0.2">
      <c r="A58" s="128"/>
      <c r="B58" s="130"/>
      <c r="C58" s="132"/>
      <c r="D58" s="3" t="s">
        <v>7</v>
      </c>
      <c r="E58" s="134"/>
      <c r="F58" s="136"/>
      <c r="G58" s="138"/>
      <c r="H58" s="140"/>
      <c r="I58" s="140"/>
      <c r="J58" s="142"/>
      <c r="K58" s="144"/>
      <c r="L58" s="144"/>
      <c r="M58" s="173"/>
      <c r="N58" s="120"/>
      <c r="O58" s="122"/>
      <c r="P58" s="27" t="s">
        <v>130</v>
      </c>
      <c r="Q58" s="124"/>
      <c r="R58" s="126"/>
    </row>
    <row r="59" spans="1:18" ht="24.95" customHeight="1" x14ac:dyDescent="0.2">
      <c r="A59" s="127">
        <v>26</v>
      </c>
      <c r="B59" s="148" t="s">
        <v>65</v>
      </c>
      <c r="C59" s="191" t="s">
        <v>87</v>
      </c>
      <c r="D59" s="6" t="s">
        <v>13</v>
      </c>
      <c r="E59" s="151">
        <v>40634</v>
      </c>
      <c r="F59" s="135" t="s">
        <v>601</v>
      </c>
      <c r="G59" s="137">
        <v>46023</v>
      </c>
      <c r="H59" s="153">
        <v>30</v>
      </c>
      <c r="I59" s="155">
        <v>0</v>
      </c>
      <c r="J59" s="141" t="s">
        <v>10</v>
      </c>
      <c r="K59" s="143" t="s">
        <v>10</v>
      </c>
      <c r="L59" s="143" t="s">
        <v>10</v>
      </c>
      <c r="M59" s="145" t="s">
        <v>137</v>
      </c>
      <c r="N59" s="120">
        <v>1997</v>
      </c>
      <c r="O59" s="121" t="s">
        <v>109</v>
      </c>
      <c r="P59" s="28">
        <v>56</v>
      </c>
      <c r="Q59" s="123" t="s">
        <v>88</v>
      </c>
      <c r="R59" s="125" t="s">
        <v>10</v>
      </c>
    </row>
    <row r="60" spans="1:18" ht="24.95" customHeight="1" x14ac:dyDescent="0.2">
      <c r="A60" s="128"/>
      <c r="B60" s="149"/>
      <c r="C60" s="192"/>
      <c r="D60" s="3" t="s">
        <v>14</v>
      </c>
      <c r="E60" s="152"/>
      <c r="F60" s="136"/>
      <c r="G60" s="138"/>
      <c r="H60" s="154"/>
      <c r="I60" s="156"/>
      <c r="J60" s="142"/>
      <c r="K60" s="144"/>
      <c r="L60" s="144"/>
      <c r="M60" s="146"/>
      <c r="N60" s="120"/>
      <c r="O60" s="122"/>
      <c r="P60" s="27" t="s">
        <v>130</v>
      </c>
      <c r="Q60" s="124"/>
      <c r="R60" s="147"/>
    </row>
    <row r="61" spans="1:18" ht="24.95" customHeight="1" x14ac:dyDescent="0.2">
      <c r="A61" s="127">
        <v>27</v>
      </c>
      <c r="B61" s="129" t="s">
        <v>22</v>
      </c>
      <c r="C61" s="131" t="s">
        <v>41</v>
      </c>
      <c r="D61" s="6" t="s">
        <v>13</v>
      </c>
      <c r="E61" s="151">
        <v>43191</v>
      </c>
      <c r="F61" s="135" t="s">
        <v>601</v>
      </c>
      <c r="G61" s="137">
        <v>46023</v>
      </c>
      <c r="H61" s="190">
        <v>22</v>
      </c>
      <c r="I61" s="190">
        <v>0</v>
      </c>
      <c r="J61" s="141" t="s">
        <v>10</v>
      </c>
      <c r="K61" s="143" t="s">
        <v>10</v>
      </c>
      <c r="L61" s="143" t="s">
        <v>10</v>
      </c>
      <c r="M61" s="188" t="s">
        <v>139</v>
      </c>
      <c r="N61" s="120">
        <v>1994</v>
      </c>
      <c r="O61" s="180" t="s">
        <v>61</v>
      </c>
      <c r="P61" s="26">
        <v>50</v>
      </c>
      <c r="Q61" s="123" t="s">
        <v>89</v>
      </c>
      <c r="R61" s="125" t="s">
        <v>10</v>
      </c>
    </row>
    <row r="62" spans="1:18" ht="24.95" customHeight="1" x14ac:dyDescent="0.2">
      <c r="A62" s="128"/>
      <c r="B62" s="130"/>
      <c r="C62" s="132"/>
      <c r="D62" s="3" t="s">
        <v>14</v>
      </c>
      <c r="E62" s="152"/>
      <c r="F62" s="136"/>
      <c r="G62" s="138"/>
      <c r="H62" s="147"/>
      <c r="I62" s="147"/>
      <c r="J62" s="142"/>
      <c r="K62" s="144"/>
      <c r="L62" s="144"/>
      <c r="M62" s="189"/>
      <c r="N62" s="120"/>
      <c r="O62" s="181"/>
      <c r="P62" s="27" t="s">
        <v>130</v>
      </c>
      <c r="Q62" s="124"/>
      <c r="R62" s="147"/>
    </row>
    <row r="63" spans="1:18" ht="24.95" customHeight="1" x14ac:dyDescent="0.2">
      <c r="A63" s="127">
        <v>28</v>
      </c>
      <c r="B63" s="148" t="s">
        <v>86</v>
      </c>
      <c r="C63" s="131" t="s">
        <v>48</v>
      </c>
      <c r="D63" s="6" t="s">
        <v>13</v>
      </c>
      <c r="E63" s="151">
        <v>44835</v>
      </c>
      <c r="F63" s="135" t="s">
        <v>598</v>
      </c>
      <c r="G63" s="137">
        <v>46023</v>
      </c>
      <c r="H63" s="139">
        <v>18</v>
      </c>
      <c r="I63" s="139">
        <v>0</v>
      </c>
      <c r="J63" s="141" t="s">
        <v>10</v>
      </c>
      <c r="K63" s="143"/>
      <c r="L63" s="143" t="s">
        <v>10</v>
      </c>
      <c r="M63" s="186" t="s">
        <v>132</v>
      </c>
      <c r="N63" s="177">
        <v>2017</v>
      </c>
      <c r="O63" s="184" t="s">
        <v>59</v>
      </c>
      <c r="P63" s="28">
        <v>49</v>
      </c>
      <c r="Q63" s="123" t="s">
        <v>105</v>
      </c>
      <c r="R63" s="125" t="s">
        <v>10</v>
      </c>
    </row>
    <row r="64" spans="1:18" ht="24.95" customHeight="1" x14ac:dyDescent="0.2">
      <c r="A64" s="128"/>
      <c r="B64" s="149"/>
      <c r="C64" s="132"/>
      <c r="D64" s="3" t="s">
        <v>14</v>
      </c>
      <c r="E64" s="152"/>
      <c r="F64" s="136"/>
      <c r="G64" s="138"/>
      <c r="H64" s="140"/>
      <c r="I64" s="140"/>
      <c r="J64" s="142"/>
      <c r="K64" s="144"/>
      <c r="L64" s="144"/>
      <c r="M64" s="187"/>
      <c r="N64" s="144"/>
      <c r="O64" s="185"/>
      <c r="P64" s="27" t="s">
        <v>130</v>
      </c>
      <c r="Q64" s="124"/>
      <c r="R64" s="126"/>
    </row>
    <row r="65" spans="1:18" ht="24.95" customHeight="1" x14ac:dyDescent="0.2">
      <c r="A65" s="127">
        <v>29</v>
      </c>
      <c r="B65" s="148" t="s">
        <v>45</v>
      </c>
      <c r="C65" s="131" t="s">
        <v>31</v>
      </c>
      <c r="D65" s="6" t="s">
        <v>13</v>
      </c>
      <c r="E65" s="151">
        <v>45017</v>
      </c>
      <c r="F65" s="135" t="s">
        <v>600</v>
      </c>
      <c r="G65" s="137">
        <v>46023</v>
      </c>
      <c r="H65" s="153">
        <v>12</v>
      </c>
      <c r="I65" s="155">
        <v>0</v>
      </c>
      <c r="J65" s="141" t="s">
        <v>10</v>
      </c>
      <c r="K65" s="143" t="s">
        <v>10</v>
      </c>
      <c r="L65" s="143" t="s">
        <v>10</v>
      </c>
      <c r="M65" s="182" t="s">
        <v>134</v>
      </c>
      <c r="N65" s="177">
        <v>2006</v>
      </c>
      <c r="O65" s="184" t="s">
        <v>115</v>
      </c>
      <c r="P65" s="28">
        <v>40</v>
      </c>
      <c r="Q65" s="123" t="s">
        <v>165</v>
      </c>
      <c r="R65" s="125" t="s">
        <v>10</v>
      </c>
    </row>
    <row r="66" spans="1:18" ht="24.95" customHeight="1" x14ac:dyDescent="0.2">
      <c r="A66" s="128"/>
      <c r="B66" s="149"/>
      <c r="C66" s="132"/>
      <c r="D66" s="3" t="s">
        <v>14</v>
      </c>
      <c r="E66" s="152"/>
      <c r="F66" s="136"/>
      <c r="G66" s="138"/>
      <c r="H66" s="154"/>
      <c r="I66" s="156"/>
      <c r="J66" s="142"/>
      <c r="K66" s="144"/>
      <c r="L66" s="144"/>
      <c r="M66" s="183"/>
      <c r="N66" s="144"/>
      <c r="O66" s="185"/>
      <c r="P66" s="27" t="s">
        <v>130</v>
      </c>
      <c r="Q66" s="124"/>
      <c r="R66" s="147"/>
    </row>
    <row r="67" spans="1:18" ht="24.95" customHeight="1" x14ac:dyDescent="0.2">
      <c r="A67" s="127">
        <v>30</v>
      </c>
      <c r="B67" s="148" t="s">
        <v>177</v>
      </c>
      <c r="C67" s="131" t="s">
        <v>178</v>
      </c>
      <c r="D67" s="6" t="s">
        <v>15</v>
      </c>
      <c r="E67" s="151">
        <v>44621</v>
      </c>
      <c r="F67" s="135" t="s">
        <v>233</v>
      </c>
      <c r="G67" s="137">
        <v>45075</v>
      </c>
      <c r="H67" s="153">
        <v>2</v>
      </c>
      <c r="I67" s="155">
        <v>0</v>
      </c>
      <c r="J67" s="141" t="s">
        <v>10</v>
      </c>
      <c r="K67" s="143" t="s">
        <v>10</v>
      </c>
      <c r="L67" s="143" t="s">
        <v>10</v>
      </c>
      <c r="M67" s="182" t="s">
        <v>204</v>
      </c>
      <c r="N67" s="177">
        <v>2010</v>
      </c>
      <c r="O67" s="171" t="s">
        <v>59</v>
      </c>
      <c r="P67" s="28">
        <v>37</v>
      </c>
      <c r="Q67" s="123" t="s">
        <v>179</v>
      </c>
      <c r="R67" s="125" t="s">
        <v>10</v>
      </c>
    </row>
    <row r="68" spans="1:18" ht="24.95" customHeight="1" x14ac:dyDescent="0.2">
      <c r="A68" s="128"/>
      <c r="B68" s="149"/>
      <c r="C68" s="132"/>
      <c r="D68" s="3" t="s">
        <v>16</v>
      </c>
      <c r="E68" s="152"/>
      <c r="F68" s="136"/>
      <c r="G68" s="138"/>
      <c r="H68" s="154"/>
      <c r="I68" s="156"/>
      <c r="J68" s="142"/>
      <c r="K68" s="144"/>
      <c r="L68" s="144"/>
      <c r="M68" s="183"/>
      <c r="N68" s="144"/>
      <c r="O68" s="171"/>
      <c r="P68" s="27" t="s">
        <v>130</v>
      </c>
      <c r="Q68" s="124"/>
      <c r="R68" s="147"/>
    </row>
    <row r="69" spans="1:18" ht="24.95" customHeight="1" x14ac:dyDescent="0.2">
      <c r="A69" s="127">
        <v>31</v>
      </c>
      <c r="B69" s="148" t="s">
        <v>180</v>
      </c>
      <c r="C69" s="131" t="s">
        <v>181</v>
      </c>
      <c r="D69" s="6" t="s">
        <v>15</v>
      </c>
      <c r="E69" s="151">
        <v>44621</v>
      </c>
      <c r="F69" s="135" t="s">
        <v>233</v>
      </c>
      <c r="G69" s="137">
        <v>45075</v>
      </c>
      <c r="H69" s="153">
        <v>2</v>
      </c>
      <c r="I69" s="155">
        <v>0</v>
      </c>
      <c r="J69" s="141" t="s">
        <v>10</v>
      </c>
      <c r="K69" s="143" t="s">
        <v>10</v>
      </c>
      <c r="L69" s="143" t="s">
        <v>10</v>
      </c>
      <c r="M69" s="182" t="s">
        <v>208</v>
      </c>
      <c r="N69" s="177">
        <v>2014</v>
      </c>
      <c r="O69" s="171" t="s">
        <v>59</v>
      </c>
      <c r="P69" s="28">
        <v>35</v>
      </c>
      <c r="Q69" s="123" t="s">
        <v>179</v>
      </c>
      <c r="R69" s="125" t="s">
        <v>10</v>
      </c>
    </row>
    <row r="70" spans="1:18" ht="24.95" customHeight="1" x14ac:dyDescent="0.2">
      <c r="A70" s="128"/>
      <c r="B70" s="149"/>
      <c r="C70" s="132"/>
      <c r="D70" s="3" t="s">
        <v>16</v>
      </c>
      <c r="E70" s="152"/>
      <c r="F70" s="136"/>
      <c r="G70" s="138"/>
      <c r="H70" s="154"/>
      <c r="I70" s="156"/>
      <c r="J70" s="142"/>
      <c r="K70" s="144"/>
      <c r="L70" s="144"/>
      <c r="M70" s="183"/>
      <c r="N70" s="144"/>
      <c r="O70" s="171"/>
      <c r="P70" s="27" t="s">
        <v>130</v>
      </c>
      <c r="Q70" s="124"/>
      <c r="R70" s="147"/>
    </row>
    <row r="71" spans="1:18" ht="24.95" customHeight="1" x14ac:dyDescent="0.2">
      <c r="A71" s="127">
        <v>32</v>
      </c>
      <c r="B71" s="148" t="s">
        <v>182</v>
      </c>
      <c r="C71" s="131" t="s">
        <v>183</v>
      </c>
      <c r="D71" s="6" t="s">
        <v>15</v>
      </c>
      <c r="E71" s="151">
        <v>44621</v>
      </c>
      <c r="F71" s="135" t="s">
        <v>233</v>
      </c>
      <c r="G71" s="137">
        <v>45075</v>
      </c>
      <c r="H71" s="153">
        <v>2</v>
      </c>
      <c r="I71" s="155">
        <v>0</v>
      </c>
      <c r="J71" s="141" t="s">
        <v>10</v>
      </c>
      <c r="K71" s="143" t="s">
        <v>10</v>
      </c>
      <c r="L71" s="143" t="s">
        <v>10</v>
      </c>
      <c r="M71" s="182" t="s">
        <v>212</v>
      </c>
      <c r="N71" s="177">
        <v>2021</v>
      </c>
      <c r="O71" s="171" t="s">
        <v>59</v>
      </c>
      <c r="P71" s="28">
        <v>28</v>
      </c>
      <c r="Q71" s="123" t="s">
        <v>179</v>
      </c>
      <c r="R71" s="125" t="s">
        <v>10</v>
      </c>
    </row>
    <row r="72" spans="1:18" ht="24.95" customHeight="1" x14ac:dyDescent="0.2">
      <c r="A72" s="128"/>
      <c r="B72" s="149"/>
      <c r="C72" s="132"/>
      <c r="D72" s="3" t="s">
        <v>16</v>
      </c>
      <c r="E72" s="152"/>
      <c r="F72" s="136"/>
      <c r="G72" s="138"/>
      <c r="H72" s="154"/>
      <c r="I72" s="156"/>
      <c r="J72" s="142"/>
      <c r="K72" s="144"/>
      <c r="L72" s="144"/>
      <c r="M72" s="183"/>
      <c r="N72" s="144"/>
      <c r="O72" s="171"/>
      <c r="P72" s="27" t="s">
        <v>130</v>
      </c>
      <c r="Q72" s="124"/>
      <c r="R72" s="147"/>
    </row>
    <row r="73" spans="1:18" ht="24.95" customHeight="1" x14ac:dyDescent="0.2">
      <c r="A73" s="127">
        <v>33</v>
      </c>
      <c r="B73" s="129" t="s">
        <v>80</v>
      </c>
      <c r="C73" s="150" t="s">
        <v>81</v>
      </c>
      <c r="D73" s="6" t="s">
        <v>15</v>
      </c>
      <c r="E73" s="151">
        <v>44652</v>
      </c>
      <c r="F73" s="135" t="s">
        <v>601</v>
      </c>
      <c r="G73" s="137">
        <v>46023</v>
      </c>
      <c r="H73" s="177">
        <v>18</v>
      </c>
      <c r="I73" s="177">
        <v>0</v>
      </c>
      <c r="J73" s="141" t="s">
        <v>10</v>
      </c>
      <c r="K73" s="143" t="s">
        <v>10</v>
      </c>
      <c r="L73" s="143" t="s">
        <v>10</v>
      </c>
      <c r="M73" s="178" t="s">
        <v>141</v>
      </c>
      <c r="N73" s="120">
        <v>1997</v>
      </c>
      <c r="O73" s="180" t="s">
        <v>73</v>
      </c>
      <c r="P73" s="26">
        <v>46</v>
      </c>
      <c r="Q73" s="123" t="s">
        <v>106</v>
      </c>
      <c r="R73" s="125" t="s">
        <v>10</v>
      </c>
    </row>
    <row r="74" spans="1:18" ht="24.95" customHeight="1" x14ac:dyDescent="0.2">
      <c r="A74" s="128"/>
      <c r="B74" s="130"/>
      <c r="C74" s="132"/>
      <c r="D74" s="3" t="s">
        <v>16</v>
      </c>
      <c r="E74" s="152"/>
      <c r="F74" s="136"/>
      <c r="G74" s="138"/>
      <c r="H74" s="144"/>
      <c r="I74" s="144"/>
      <c r="J74" s="142"/>
      <c r="K74" s="144"/>
      <c r="L74" s="144"/>
      <c r="M74" s="179"/>
      <c r="N74" s="120"/>
      <c r="O74" s="181"/>
      <c r="P74" s="27" t="s">
        <v>130</v>
      </c>
      <c r="Q74" s="124"/>
      <c r="R74" s="147"/>
    </row>
    <row r="75" spans="1:18" ht="24.95" customHeight="1" x14ac:dyDescent="0.2">
      <c r="A75" s="127">
        <v>34</v>
      </c>
      <c r="B75" s="148" t="s">
        <v>32</v>
      </c>
      <c r="C75" s="131" t="s">
        <v>33</v>
      </c>
      <c r="D75" s="6" t="s">
        <v>15</v>
      </c>
      <c r="E75" s="151">
        <v>45017</v>
      </c>
      <c r="F75" s="135" t="s">
        <v>601</v>
      </c>
      <c r="G75" s="137">
        <v>46023</v>
      </c>
      <c r="H75" s="139">
        <v>24</v>
      </c>
      <c r="I75" s="139">
        <v>0</v>
      </c>
      <c r="J75" s="141" t="s">
        <v>10</v>
      </c>
      <c r="K75" s="143" t="s">
        <v>10</v>
      </c>
      <c r="L75" s="143" t="s">
        <v>10</v>
      </c>
      <c r="M75" s="172" t="s">
        <v>142</v>
      </c>
      <c r="N75" s="120">
        <v>1990</v>
      </c>
      <c r="O75" s="121" t="s">
        <v>61</v>
      </c>
      <c r="P75" s="28">
        <v>55</v>
      </c>
      <c r="Q75" s="123" t="s">
        <v>168</v>
      </c>
      <c r="R75" s="125" t="s">
        <v>10</v>
      </c>
    </row>
    <row r="76" spans="1:18" ht="24.95" customHeight="1" x14ac:dyDescent="0.2">
      <c r="A76" s="128"/>
      <c r="B76" s="149"/>
      <c r="C76" s="132"/>
      <c r="D76" s="3" t="s">
        <v>16</v>
      </c>
      <c r="E76" s="152"/>
      <c r="F76" s="136"/>
      <c r="G76" s="138"/>
      <c r="H76" s="140"/>
      <c r="I76" s="140"/>
      <c r="J76" s="142"/>
      <c r="K76" s="144"/>
      <c r="L76" s="144"/>
      <c r="M76" s="173"/>
      <c r="N76" s="120"/>
      <c r="O76" s="122"/>
      <c r="P76" s="27" t="s">
        <v>130</v>
      </c>
      <c r="Q76" s="124"/>
      <c r="R76" s="147"/>
    </row>
    <row r="77" spans="1:18" ht="24.95" customHeight="1" x14ac:dyDescent="0.2">
      <c r="A77" s="127">
        <v>35</v>
      </c>
      <c r="B77" s="129" t="s">
        <v>103</v>
      </c>
      <c r="C77" s="131" t="s">
        <v>104</v>
      </c>
      <c r="D77" s="6" t="s">
        <v>15</v>
      </c>
      <c r="E77" s="151">
        <v>45017</v>
      </c>
      <c r="F77" s="135" t="s">
        <v>601</v>
      </c>
      <c r="G77" s="137">
        <v>46023</v>
      </c>
      <c r="H77" s="177">
        <v>18</v>
      </c>
      <c r="I77" s="177">
        <v>0</v>
      </c>
      <c r="J77" s="141" t="s">
        <v>10</v>
      </c>
      <c r="K77" s="143" t="s">
        <v>10</v>
      </c>
      <c r="L77" s="143" t="s">
        <v>10</v>
      </c>
      <c r="M77" s="172" t="s">
        <v>143</v>
      </c>
      <c r="N77" s="120">
        <v>1989</v>
      </c>
      <c r="O77" s="121" t="s">
        <v>61</v>
      </c>
      <c r="P77" s="28">
        <v>57</v>
      </c>
      <c r="Q77" s="123" t="s">
        <v>88</v>
      </c>
      <c r="R77" s="143" t="s">
        <v>10</v>
      </c>
    </row>
    <row r="78" spans="1:18" ht="24.95" customHeight="1" x14ac:dyDescent="0.2">
      <c r="A78" s="128"/>
      <c r="B78" s="130"/>
      <c r="C78" s="132"/>
      <c r="D78" s="3" t="s">
        <v>16</v>
      </c>
      <c r="E78" s="152"/>
      <c r="F78" s="136"/>
      <c r="G78" s="138"/>
      <c r="H78" s="144"/>
      <c r="I78" s="144"/>
      <c r="J78" s="142"/>
      <c r="K78" s="144"/>
      <c r="L78" s="144"/>
      <c r="M78" s="173"/>
      <c r="N78" s="120"/>
      <c r="O78" s="122"/>
      <c r="P78" s="27" t="s">
        <v>130</v>
      </c>
      <c r="Q78" s="124"/>
      <c r="R78" s="144"/>
    </row>
    <row r="79" spans="1:18" ht="24.95" customHeight="1" x14ac:dyDescent="0.2">
      <c r="A79" s="127">
        <v>36</v>
      </c>
      <c r="B79" s="148" t="s">
        <v>34</v>
      </c>
      <c r="C79" s="131" t="s">
        <v>43</v>
      </c>
      <c r="D79" s="6" t="s">
        <v>15</v>
      </c>
      <c r="E79" s="151">
        <v>45017</v>
      </c>
      <c r="F79" s="135" t="s">
        <v>601</v>
      </c>
      <c r="G79" s="137">
        <v>46023</v>
      </c>
      <c r="H79" s="177">
        <v>18</v>
      </c>
      <c r="I79" s="177">
        <v>0</v>
      </c>
      <c r="J79" s="141" t="s">
        <v>10</v>
      </c>
      <c r="K79" s="143" t="s">
        <v>10</v>
      </c>
      <c r="L79" s="143" t="s">
        <v>10</v>
      </c>
      <c r="M79" s="176" t="s">
        <v>144</v>
      </c>
      <c r="N79" s="120">
        <v>1995</v>
      </c>
      <c r="O79" s="171" t="s">
        <v>62</v>
      </c>
      <c r="P79" s="26">
        <v>49</v>
      </c>
      <c r="Q79" s="123" t="s">
        <v>161</v>
      </c>
      <c r="R79" s="125" t="s">
        <v>10</v>
      </c>
    </row>
    <row r="80" spans="1:18" ht="24.95" customHeight="1" x14ac:dyDescent="0.2">
      <c r="A80" s="128"/>
      <c r="B80" s="149"/>
      <c r="C80" s="132"/>
      <c r="D80" s="3" t="s">
        <v>16</v>
      </c>
      <c r="E80" s="152"/>
      <c r="F80" s="136"/>
      <c r="G80" s="138"/>
      <c r="H80" s="144"/>
      <c r="I80" s="144"/>
      <c r="J80" s="142"/>
      <c r="K80" s="144"/>
      <c r="L80" s="144"/>
      <c r="M80" s="176"/>
      <c r="N80" s="120"/>
      <c r="O80" s="171"/>
      <c r="P80" s="27" t="s">
        <v>130</v>
      </c>
      <c r="Q80" s="124"/>
      <c r="R80" s="147"/>
    </row>
    <row r="81" spans="1:18" ht="24.95" customHeight="1" x14ac:dyDescent="0.2">
      <c r="A81" s="127">
        <v>37</v>
      </c>
      <c r="B81" s="148" t="s">
        <v>611</v>
      </c>
      <c r="C81" s="131" t="s">
        <v>82</v>
      </c>
      <c r="D81" s="6" t="s">
        <v>15</v>
      </c>
      <c r="E81" s="151">
        <v>45566</v>
      </c>
      <c r="F81" s="135" t="s">
        <v>598</v>
      </c>
      <c r="G81" s="137">
        <v>46023</v>
      </c>
      <c r="H81" s="153">
        <v>18</v>
      </c>
      <c r="I81" s="155">
        <v>0</v>
      </c>
      <c r="J81" s="141" t="s">
        <v>10</v>
      </c>
      <c r="K81" s="143" t="s">
        <v>10</v>
      </c>
      <c r="L81" s="143" t="s">
        <v>10</v>
      </c>
      <c r="M81" s="145" t="s">
        <v>230</v>
      </c>
      <c r="N81" s="120">
        <v>1999</v>
      </c>
      <c r="O81" s="121" t="s">
        <v>59</v>
      </c>
      <c r="P81" s="28">
        <v>45</v>
      </c>
      <c r="Q81" s="123" t="s">
        <v>229</v>
      </c>
      <c r="R81" s="125" t="s">
        <v>10</v>
      </c>
    </row>
    <row r="82" spans="1:18" ht="24.95" customHeight="1" x14ac:dyDescent="0.2">
      <c r="A82" s="128"/>
      <c r="B82" s="149"/>
      <c r="C82" s="132"/>
      <c r="D82" s="3" t="s">
        <v>16</v>
      </c>
      <c r="E82" s="152"/>
      <c r="F82" s="136"/>
      <c r="G82" s="138"/>
      <c r="H82" s="154"/>
      <c r="I82" s="156"/>
      <c r="J82" s="142"/>
      <c r="K82" s="144"/>
      <c r="L82" s="144"/>
      <c r="M82" s="146"/>
      <c r="N82" s="120"/>
      <c r="O82" s="122"/>
      <c r="P82" s="27" t="s">
        <v>130</v>
      </c>
      <c r="Q82" s="124"/>
      <c r="R82" s="147"/>
    </row>
    <row r="83" spans="1:18" ht="24.95" customHeight="1" x14ac:dyDescent="0.2">
      <c r="A83" s="127">
        <v>38</v>
      </c>
      <c r="B83" s="148" t="s">
        <v>241</v>
      </c>
      <c r="C83" s="150" t="s">
        <v>242</v>
      </c>
      <c r="D83" s="6" t="s">
        <v>15</v>
      </c>
      <c r="E83" s="151">
        <v>45748</v>
      </c>
      <c r="F83" s="135" t="s">
        <v>243</v>
      </c>
      <c r="G83" s="137">
        <v>45748</v>
      </c>
      <c r="H83" s="153">
        <v>0</v>
      </c>
      <c r="I83" s="155">
        <v>0</v>
      </c>
      <c r="J83" s="141" t="s">
        <v>10</v>
      </c>
      <c r="K83" s="143" t="s">
        <v>10</v>
      </c>
      <c r="L83" s="143" t="s">
        <v>10</v>
      </c>
      <c r="M83" s="145" t="s">
        <v>247</v>
      </c>
      <c r="N83" s="120">
        <v>2015</v>
      </c>
      <c r="O83" s="121" t="s">
        <v>59</v>
      </c>
      <c r="P83" s="28">
        <v>36</v>
      </c>
      <c r="Q83" s="123" t="s">
        <v>244</v>
      </c>
      <c r="R83" s="125" t="s">
        <v>10</v>
      </c>
    </row>
    <row r="84" spans="1:18" ht="24.95" customHeight="1" x14ac:dyDescent="0.2">
      <c r="A84" s="128"/>
      <c r="B84" s="149"/>
      <c r="C84" s="132"/>
      <c r="D84" s="3" t="s">
        <v>16</v>
      </c>
      <c r="E84" s="152"/>
      <c r="F84" s="136"/>
      <c r="G84" s="138"/>
      <c r="H84" s="154"/>
      <c r="I84" s="156"/>
      <c r="J84" s="142"/>
      <c r="K84" s="144"/>
      <c r="L84" s="144"/>
      <c r="M84" s="146"/>
      <c r="N84" s="120"/>
      <c r="O84" s="122"/>
      <c r="P84" s="27" t="s">
        <v>130</v>
      </c>
      <c r="Q84" s="124"/>
      <c r="R84" s="147"/>
    </row>
    <row r="85" spans="1:18" ht="24.95" customHeight="1" x14ac:dyDescent="0.2">
      <c r="A85" s="127">
        <v>39</v>
      </c>
      <c r="B85" s="148" t="s">
        <v>245</v>
      </c>
      <c r="C85" s="150" t="s">
        <v>246</v>
      </c>
      <c r="D85" s="6" t="s">
        <v>15</v>
      </c>
      <c r="E85" s="151">
        <v>45748</v>
      </c>
      <c r="F85" s="135" t="s">
        <v>243</v>
      </c>
      <c r="G85" s="137">
        <v>45748</v>
      </c>
      <c r="H85" s="153">
        <v>0</v>
      </c>
      <c r="I85" s="155">
        <v>0</v>
      </c>
      <c r="J85" s="141" t="s">
        <v>10</v>
      </c>
      <c r="K85" s="143" t="s">
        <v>10</v>
      </c>
      <c r="L85" s="143" t="s">
        <v>10</v>
      </c>
      <c r="M85" s="145" t="s">
        <v>248</v>
      </c>
      <c r="N85" s="120">
        <v>2019</v>
      </c>
      <c r="O85" s="121" t="s">
        <v>59</v>
      </c>
      <c r="P85" s="28">
        <v>28</v>
      </c>
      <c r="Q85" s="123" t="s">
        <v>244</v>
      </c>
      <c r="R85" s="125" t="s">
        <v>10</v>
      </c>
    </row>
    <row r="86" spans="1:18" ht="24.95" customHeight="1" x14ac:dyDescent="0.2">
      <c r="A86" s="128"/>
      <c r="B86" s="149"/>
      <c r="C86" s="132"/>
      <c r="D86" s="3" t="s">
        <v>16</v>
      </c>
      <c r="E86" s="152"/>
      <c r="F86" s="136"/>
      <c r="G86" s="138"/>
      <c r="H86" s="154"/>
      <c r="I86" s="156"/>
      <c r="J86" s="142"/>
      <c r="K86" s="144"/>
      <c r="L86" s="144"/>
      <c r="M86" s="146"/>
      <c r="N86" s="120"/>
      <c r="O86" s="122"/>
      <c r="P86" s="27" t="s">
        <v>130</v>
      </c>
      <c r="Q86" s="124"/>
      <c r="R86" s="147"/>
    </row>
    <row r="87" spans="1:18" ht="24.95" customHeight="1" x14ac:dyDescent="0.2">
      <c r="A87" s="127">
        <v>40</v>
      </c>
      <c r="B87" s="148" t="s">
        <v>249</v>
      </c>
      <c r="C87" s="131" t="s">
        <v>197</v>
      </c>
      <c r="D87" s="6" t="s">
        <v>15</v>
      </c>
      <c r="E87" s="137">
        <v>45809</v>
      </c>
      <c r="F87" s="135" t="s">
        <v>232</v>
      </c>
      <c r="G87" s="137">
        <v>45075</v>
      </c>
      <c r="H87" s="157">
        <v>1</v>
      </c>
      <c r="I87" s="157">
        <v>3</v>
      </c>
      <c r="J87" s="141" t="s">
        <v>10</v>
      </c>
      <c r="K87" s="143" t="s">
        <v>10</v>
      </c>
      <c r="L87" s="143" t="s">
        <v>10</v>
      </c>
      <c r="M87" s="169" t="s">
        <v>207</v>
      </c>
      <c r="N87" s="120">
        <v>2016</v>
      </c>
      <c r="O87" s="171" t="s">
        <v>115</v>
      </c>
      <c r="P87" s="26">
        <v>29</v>
      </c>
      <c r="Q87" s="123" t="s">
        <v>186</v>
      </c>
      <c r="R87" s="125" t="s">
        <v>10</v>
      </c>
    </row>
    <row r="88" spans="1:18" ht="24.95" customHeight="1" x14ac:dyDescent="0.2">
      <c r="A88" s="128"/>
      <c r="B88" s="149"/>
      <c r="C88" s="132"/>
      <c r="D88" s="3" t="s">
        <v>16</v>
      </c>
      <c r="E88" s="138"/>
      <c r="F88" s="136"/>
      <c r="G88" s="138"/>
      <c r="H88" s="158"/>
      <c r="I88" s="158"/>
      <c r="J88" s="142"/>
      <c r="K88" s="144"/>
      <c r="L88" s="144"/>
      <c r="M88" s="170"/>
      <c r="N88" s="120"/>
      <c r="O88" s="171"/>
      <c r="P88" s="27" t="s">
        <v>130</v>
      </c>
      <c r="Q88" s="124"/>
      <c r="R88" s="147"/>
    </row>
    <row r="89" spans="1:18" ht="24.95" customHeight="1" x14ac:dyDescent="0.2">
      <c r="A89" s="127">
        <v>41</v>
      </c>
      <c r="B89" s="148" t="s">
        <v>69</v>
      </c>
      <c r="C89" s="131" t="s">
        <v>70</v>
      </c>
      <c r="D89" s="6" t="s">
        <v>15</v>
      </c>
      <c r="E89" s="137">
        <v>45809</v>
      </c>
      <c r="F89" s="135" t="s">
        <v>601</v>
      </c>
      <c r="G89" s="137">
        <v>46023</v>
      </c>
      <c r="H89" s="139">
        <v>16</v>
      </c>
      <c r="I89" s="139">
        <v>7</v>
      </c>
      <c r="J89" s="141" t="s">
        <v>10</v>
      </c>
      <c r="K89" s="143" t="s">
        <v>10</v>
      </c>
      <c r="L89" s="143" t="s">
        <v>10</v>
      </c>
      <c r="M89" s="172" t="s">
        <v>144</v>
      </c>
      <c r="N89" s="120">
        <v>2001</v>
      </c>
      <c r="O89" s="121" t="s">
        <v>61</v>
      </c>
      <c r="P89" s="28">
        <v>44</v>
      </c>
      <c r="Q89" s="123" t="s">
        <v>167</v>
      </c>
      <c r="R89" s="125" t="s">
        <v>10</v>
      </c>
    </row>
    <row r="90" spans="1:18" ht="24.95" customHeight="1" x14ac:dyDescent="0.2">
      <c r="A90" s="128"/>
      <c r="B90" s="149"/>
      <c r="C90" s="132"/>
      <c r="D90" s="3" t="s">
        <v>16</v>
      </c>
      <c r="E90" s="138"/>
      <c r="F90" s="136"/>
      <c r="G90" s="138"/>
      <c r="H90" s="140"/>
      <c r="I90" s="140"/>
      <c r="J90" s="142"/>
      <c r="K90" s="144"/>
      <c r="L90" s="144"/>
      <c r="M90" s="173"/>
      <c r="N90" s="120"/>
      <c r="O90" s="122"/>
      <c r="P90" s="27" t="s">
        <v>130</v>
      </c>
      <c r="Q90" s="124"/>
      <c r="R90" s="147"/>
    </row>
    <row r="91" spans="1:18" ht="24.95" customHeight="1" x14ac:dyDescent="0.2">
      <c r="A91" s="127">
        <v>42</v>
      </c>
      <c r="B91" s="148" t="s">
        <v>49</v>
      </c>
      <c r="C91" s="131" t="s">
        <v>50</v>
      </c>
      <c r="D91" s="6" t="s">
        <v>15</v>
      </c>
      <c r="E91" s="151">
        <v>45931</v>
      </c>
      <c r="F91" s="135" t="s">
        <v>601</v>
      </c>
      <c r="G91" s="137">
        <v>46023</v>
      </c>
      <c r="H91" s="139">
        <v>17</v>
      </c>
      <c r="I91" s="139">
        <v>9</v>
      </c>
      <c r="J91" s="141" t="s">
        <v>10</v>
      </c>
      <c r="K91" s="143" t="s">
        <v>10</v>
      </c>
      <c r="L91" s="143" t="s">
        <v>10</v>
      </c>
      <c r="M91" s="169" t="s">
        <v>146</v>
      </c>
      <c r="N91" s="120">
        <v>1997</v>
      </c>
      <c r="O91" s="171" t="s">
        <v>110</v>
      </c>
      <c r="P91" s="28">
        <v>47</v>
      </c>
      <c r="Q91" s="123" t="s">
        <v>111</v>
      </c>
      <c r="R91" s="125" t="s">
        <v>10</v>
      </c>
    </row>
    <row r="92" spans="1:18" ht="24.95" customHeight="1" x14ac:dyDescent="0.2">
      <c r="A92" s="128"/>
      <c r="B92" s="149"/>
      <c r="C92" s="132"/>
      <c r="D92" s="3" t="s">
        <v>16</v>
      </c>
      <c r="E92" s="152"/>
      <c r="F92" s="136"/>
      <c r="G92" s="138"/>
      <c r="H92" s="140"/>
      <c r="I92" s="140"/>
      <c r="J92" s="142"/>
      <c r="K92" s="144"/>
      <c r="L92" s="144"/>
      <c r="M92" s="170"/>
      <c r="N92" s="120"/>
      <c r="O92" s="171"/>
      <c r="P92" s="27" t="s">
        <v>130</v>
      </c>
      <c r="Q92" s="124"/>
      <c r="R92" s="147"/>
    </row>
    <row r="93" spans="1:18" ht="24.95" customHeight="1" x14ac:dyDescent="0.2">
      <c r="A93" s="127">
        <v>43</v>
      </c>
      <c r="B93" s="148" t="s">
        <v>67</v>
      </c>
      <c r="C93" s="131" t="s">
        <v>68</v>
      </c>
      <c r="D93" s="6" t="s">
        <v>25</v>
      </c>
      <c r="E93" s="151">
        <v>44652</v>
      </c>
      <c r="F93" s="135" t="s">
        <v>601</v>
      </c>
      <c r="G93" s="137">
        <v>46023</v>
      </c>
      <c r="H93" s="153">
        <v>21</v>
      </c>
      <c r="I93" s="155">
        <v>0</v>
      </c>
      <c r="J93" s="141" t="s">
        <v>10</v>
      </c>
      <c r="K93" s="143" t="s">
        <v>10</v>
      </c>
      <c r="L93" s="143" t="s">
        <v>10</v>
      </c>
      <c r="M93" s="145" t="s">
        <v>145</v>
      </c>
      <c r="N93" s="120">
        <v>1999</v>
      </c>
      <c r="O93" s="121" t="s">
        <v>73</v>
      </c>
      <c r="P93" s="26">
        <v>46</v>
      </c>
      <c r="Q93" s="123" t="s">
        <v>167</v>
      </c>
      <c r="R93" s="125" t="s">
        <v>10</v>
      </c>
    </row>
    <row r="94" spans="1:18" ht="24.95" customHeight="1" x14ac:dyDescent="0.2">
      <c r="A94" s="128"/>
      <c r="B94" s="149"/>
      <c r="C94" s="132"/>
      <c r="D94" s="3" t="s">
        <v>26</v>
      </c>
      <c r="E94" s="152"/>
      <c r="F94" s="136"/>
      <c r="G94" s="138"/>
      <c r="H94" s="154"/>
      <c r="I94" s="156"/>
      <c r="J94" s="142"/>
      <c r="K94" s="144"/>
      <c r="L94" s="144"/>
      <c r="M94" s="146"/>
      <c r="N94" s="120"/>
      <c r="O94" s="122"/>
      <c r="P94" s="27" t="s">
        <v>130</v>
      </c>
      <c r="Q94" s="124"/>
      <c r="R94" s="147"/>
    </row>
    <row r="95" spans="1:18" ht="24.95" customHeight="1" x14ac:dyDescent="0.2">
      <c r="A95" s="127">
        <v>44</v>
      </c>
      <c r="B95" s="148" t="s">
        <v>113</v>
      </c>
      <c r="C95" s="131" t="s">
        <v>114</v>
      </c>
      <c r="D95" s="6" t="s">
        <v>25</v>
      </c>
      <c r="E95" s="137">
        <v>45627</v>
      </c>
      <c r="F95" s="135" t="s">
        <v>600</v>
      </c>
      <c r="G95" s="137">
        <v>46023</v>
      </c>
      <c r="H95" s="139">
        <v>7</v>
      </c>
      <c r="I95" s="139">
        <v>0</v>
      </c>
      <c r="J95" s="141" t="s">
        <v>10</v>
      </c>
      <c r="K95" s="143" t="s">
        <v>10</v>
      </c>
      <c r="L95" s="143" t="s">
        <v>10</v>
      </c>
      <c r="M95" s="176" t="s">
        <v>131</v>
      </c>
      <c r="N95" s="120">
        <v>2013</v>
      </c>
      <c r="O95" s="171" t="s">
        <v>115</v>
      </c>
      <c r="P95" s="26">
        <v>33</v>
      </c>
      <c r="Q95" s="123" t="str">
        <f>F95</f>
        <v>Pengolah Data dan Informasi</v>
      </c>
      <c r="R95" s="125" t="s">
        <v>10</v>
      </c>
    </row>
    <row r="96" spans="1:18" ht="24.95" customHeight="1" x14ac:dyDescent="0.2">
      <c r="A96" s="128"/>
      <c r="B96" s="149"/>
      <c r="C96" s="132"/>
      <c r="D96" s="3" t="s">
        <v>26</v>
      </c>
      <c r="E96" s="138"/>
      <c r="F96" s="136"/>
      <c r="G96" s="138"/>
      <c r="H96" s="140"/>
      <c r="I96" s="140"/>
      <c r="J96" s="142"/>
      <c r="K96" s="144"/>
      <c r="L96" s="144"/>
      <c r="M96" s="176"/>
      <c r="N96" s="120"/>
      <c r="O96" s="171"/>
      <c r="P96" s="27" t="s">
        <v>130</v>
      </c>
      <c r="Q96" s="124"/>
      <c r="R96" s="147"/>
    </row>
    <row r="97" spans="1:18" ht="24.95" customHeight="1" x14ac:dyDescent="0.2">
      <c r="A97" s="127">
        <v>45</v>
      </c>
      <c r="B97" s="148" t="s">
        <v>116</v>
      </c>
      <c r="C97" s="131" t="s">
        <v>117</v>
      </c>
      <c r="D97" s="6" t="s">
        <v>25</v>
      </c>
      <c r="E97" s="137">
        <v>45627</v>
      </c>
      <c r="F97" s="135" t="s">
        <v>600</v>
      </c>
      <c r="G97" s="137">
        <v>46023</v>
      </c>
      <c r="H97" s="139">
        <v>7</v>
      </c>
      <c r="I97" s="139">
        <v>0</v>
      </c>
      <c r="J97" s="141" t="s">
        <v>10</v>
      </c>
      <c r="K97" s="143" t="s">
        <v>10</v>
      </c>
      <c r="L97" s="143" t="s">
        <v>10</v>
      </c>
      <c r="M97" s="176" t="s">
        <v>147</v>
      </c>
      <c r="N97" s="120">
        <v>2016</v>
      </c>
      <c r="O97" s="171" t="s">
        <v>115</v>
      </c>
      <c r="P97" s="28">
        <v>33</v>
      </c>
      <c r="Q97" s="123" t="str">
        <f>Q99</f>
        <v>Pengolah Data dan Informasi</v>
      </c>
      <c r="R97" s="125" t="s">
        <v>10</v>
      </c>
    </row>
    <row r="98" spans="1:18" ht="24.95" customHeight="1" x14ac:dyDescent="0.2">
      <c r="A98" s="128"/>
      <c r="B98" s="149"/>
      <c r="C98" s="132"/>
      <c r="D98" s="3" t="s">
        <v>26</v>
      </c>
      <c r="E98" s="138"/>
      <c r="F98" s="136"/>
      <c r="G98" s="138"/>
      <c r="H98" s="140"/>
      <c r="I98" s="140"/>
      <c r="J98" s="142"/>
      <c r="K98" s="144"/>
      <c r="L98" s="144"/>
      <c r="M98" s="176"/>
      <c r="N98" s="120"/>
      <c r="O98" s="171"/>
      <c r="P98" s="27" t="s">
        <v>130</v>
      </c>
      <c r="Q98" s="124"/>
      <c r="R98" s="147"/>
    </row>
    <row r="99" spans="1:18" ht="24.95" customHeight="1" x14ac:dyDescent="0.2">
      <c r="A99" s="127">
        <v>46</v>
      </c>
      <c r="B99" s="148" t="s">
        <v>118</v>
      </c>
      <c r="C99" s="131" t="s">
        <v>119</v>
      </c>
      <c r="D99" s="6" t="s">
        <v>25</v>
      </c>
      <c r="E99" s="137">
        <v>45627</v>
      </c>
      <c r="F99" s="135" t="s">
        <v>600</v>
      </c>
      <c r="G99" s="137">
        <v>46023</v>
      </c>
      <c r="H99" s="139">
        <v>7</v>
      </c>
      <c r="I99" s="139">
        <v>0</v>
      </c>
      <c r="J99" s="141" t="s">
        <v>10</v>
      </c>
      <c r="K99" s="143" t="s">
        <v>10</v>
      </c>
      <c r="L99" s="143" t="s">
        <v>10</v>
      </c>
      <c r="M99" s="169" t="s">
        <v>148</v>
      </c>
      <c r="N99" s="120">
        <v>2016</v>
      </c>
      <c r="O99" s="171" t="s">
        <v>115</v>
      </c>
      <c r="P99" s="26">
        <v>30</v>
      </c>
      <c r="Q99" s="123" t="str">
        <f>F99</f>
        <v>Pengolah Data dan Informasi</v>
      </c>
      <c r="R99" s="125" t="s">
        <v>10</v>
      </c>
    </row>
    <row r="100" spans="1:18" ht="24.95" customHeight="1" x14ac:dyDescent="0.2">
      <c r="A100" s="128"/>
      <c r="B100" s="149"/>
      <c r="C100" s="132"/>
      <c r="D100" s="3" t="s">
        <v>26</v>
      </c>
      <c r="E100" s="138"/>
      <c r="F100" s="136"/>
      <c r="G100" s="138"/>
      <c r="H100" s="140"/>
      <c r="I100" s="140"/>
      <c r="J100" s="142"/>
      <c r="K100" s="144"/>
      <c r="L100" s="144"/>
      <c r="M100" s="170"/>
      <c r="N100" s="120"/>
      <c r="O100" s="171"/>
      <c r="P100" s="27" t="s">
        <v>130</v>
      </c>
      <c r="Q100" s="124"/>
      <c r="R100" s="147"/>
    </row>
    <row r="101" spans="1:18" ht="24.95" customHeight="1" x14ac:dyDescent="0.2">
      <c r="A101" s="127">
        <v>47</v>
      </c>
      <c r="B101" s="148" t="s">
        <v>71</v>
      </c>
      <c r="C101" s="131" t="s">
        <v>72</v>
      </c>
      <c r="D101" s="6" t="s">
        <v>25</v>
      </c>
      <c r="E101" s="133">
        <v>45931</v>
      </c>
      <c r="F101" s="135" t="s">
        <v>601</v>
      </c>
      <c r="G101" s="137">
        <v>46023</v>
      </c>
      <c r="H101" s="174">
        <v>30</v>
      </c>
      <c r="I101" s="174">
        <v>6</v>
      </c>
      <c r="J101" s="141" t="s">
        <v>10</v>
      </c>
      <c r="K101" s="143" t="s">
        <v>10</v>
      </c>
      <c r="L101" s="143" t="s">
        <v>10</v>
      </c>
      <c r="M101" s="172" t="s">
        <v>149</v>
      </c>
      <c r="N101" s="120">
        <v>2012</v>
      </c>
      <c r="O101" s="121" t="s">
        <v>73</v>
      </c>
      <c r="P101" s="28">
        <v>57</v>
      </c>
      <c r="Q101" s="123" t="s">
        <v>169</v>
      </c>
      <c r="R101" s="125" t="s">
        <v>10</v>
      </c>
    </row>
    <row r="102" spans="1:18" ht="24.95" customHeight="1" x14ac:dyDescent="0.2">
      <c r="A102" s="128"/>
      <c r="B102" s="149"/>
      <c r="C102" s="132"/>
      <c r="D102" s="3" t="s">
        <v>26</v>
      </c>
      <c r="E102" s="134"/>
      <c r="F102" s="136"/>
      <c r="G102" s="138"/>
      <c r="H102" s="175"/>
      <c r="I102" s="175"/>
      <c r="J102" s="142"/>
      <c r="K102" s="144"/>
      <c r="L102" s="144"/>
      <c r="M102" s="173"/>
      <c r="N102" s="120"/>
      <c r="O102" s="122"/>
      <c r="P102" s="27" t="s">
        <v>130</v>
      </c>
      <c r="Q102" s="124"/>
      <c r="R102" s="147"/>
    </row>
    <row r="103" spans="1:18" ht="24.95" customHeight="1" x14ac:dyDescent="0.2">
      <c r="A103" s="127">
        <v>48</v>
      </c>
      <c r="B103" s="148" t="s">
        <v>184</v>
      </c>
      <c r="C103" s="131" t="s">
        <v>185</v>
      </c>
      <c r="D103" s="6" t="s">
        <v>29</v>
      </c>
      <c r="E103" s="137">
        <v>44621</v>
      </c>
      <c r="F103" s="135" t="s">
        <v>232</v>
      </c>
      <c r="G103" s="137">
        <v>45075</v>
      </c>
      <c r="H103" s="157">
        <v>5</v>
      </c>
      <c r="I103" s="157">
        <v>0</v>
      </c>
      <c r="J103" s="141" t="s">
        <v>10</v>
      </c>
      <c r="K103" s="143" t="s">
        <v>10</v>
      </c>
      <c r="L103" s="143" t="s">
        <v>10</v>
      </c>
      <c r="M103" s="169" t="s">
        <v>213</v>
      </c>
      <c r="N103" s="120">
        <v>2009</v>
      </c>
      <c r="O103" s="171" t="s">
        <v>115</v>
      </c>
      <c r="P103" s="26">
        <v>38</v>
      </c>
      <c r="Q103" s="123" t="s">
        <v>186</v>
      </c>
      <c r="R103" s="125" t="s">
        <v>10</v>
      </c>
    </row>
    <row r="104" spans="1:18" ht="24.95" customHeight="1" x14ac:dyDescent="0.2">
      <c r="A104" s="128"/>
      <c r="B104" s="149"/>
      <c r="C104" s="132"/>
      <c r="D104" s="3" t="s">
        <v>30</v>
      </c>
      <c r="E104" s="138"/>
      <c r="F104" s="136"/>
      <c r="G104" s="138"/>
      <c r="H104" s="158"/>
      <c r="I104" s="158"/>
      <c r="J104" s="142"/>
      <c r="K104" s="144"/>
      <c r="L104" s="144"/>
      <c r="M104" s="170"/>
      <c r="N104" s="120"/>
      <c r="O104" s="171"/>
      <c r="P104" s="27" t="s">
        <v>130</v>
      </c>
      <c r="Q104" s="124"/>
      <c r="R104" s="147"/>
    </row>
    <row r="105" spans="1:18" ht="24.95" customHeight="1" x14ac:dyDescent="0.2">
      <c r="A105" s="127">
        <v>49</v>
      </c>
      <c r="B105" s="148" t="s">
        <v>187</v>
      </c>
      <c r="C105" s="131" t="s">
        <v>188</v>
      </c>
      <c r="D105" s="6" t="s">
        <v>29</v>
      </c>
      <c r="E105" s="137">
        <v>44621</v>
      </c>
      <c r="F105" s="135" t="s">
        <v>232</v>
      </c>
      <c r="G105" s="137">
        <v>45075</v>
      </c>
      <c r="H105" s="157">
        <v>5</v>
      </c>
      <c r="I105" s="157">
        <v>0</v>
      </c>
      <c r="J105" s="141" t="s">
        <v>10</v>
      </c>
      <c r="K105" s="143" t="s">
        <v>10</v>
      </c>
      <c r="L105" s="143" t="s">
        <v>10</v>
      </c>
      <c r="M105" s="169" t="s">
        <v>214</v>
      </c>
      <c r="N105" s="120">
        <v>2011</v>
      </c>
      <c r="O105" s="171" t="s">
        <v>115</v>
      </c>
      <c r="P105" s="26">
        <v>36</v>
      </c>
      <c r="Q105" s="123" t="s">
        <v>186</v>
      </c>
      <c r="R105" s="125" t="s">
        <v>10</v>
      </c>
    </row>
    <row r="106" spans="1:18" ht="24.95" customHeight="1" x14ac:dyDescent="0.2">
      <c r="A106" s="128"/>
      <c r="B106" s="149"/>
      <c r="C106" s="132"/>
      <c r="D106" s="3" t="s">
        <v>30</v>
      </c>
      <c r="E106" s="138"/>
      <c r="F106" s="136"/>
      <c r="G106" s="138"/>
      <c r="H106" s="158"/>
      <c r="I106" s="158"/>
      <c r="J106" s="142"/>
      <c r="K106" s="144"/>
      <c r="L106" s="144"/>
      <c r="M106" s="170"/>
      <c r="N106" s="120"/>
      <c r="O106" s="171"/>
      <c r="P106" s="27" t="s">
        <v>130</v>
      </c>
      <c r="Q106" s="124"/>
      <c r="R106" s="147"/>
    </row>
    <row r="107" spans="1:18" ht="24.95" customHeight="1" x14ac:dyDescent="0.2">
      <c r="A107" s="127">
        <v>50</v>
      </c>
      <c r="B107" s="148" t="s">
        <v>189</v>
      </c>
      <c r="C107" s="131" t="s">
        <v>190</v>
      </c>
      <c r="D107" s="6" t="s">
        <v>29</v>
      </c>
      <c r="E107" s="137">
        <v>44621</v>
      </c>
      <c r="F107" s="135" t="s">
        <v>232</v>
      </c>
      <c r="G107" s="137">
        <v>45075</v>
      </c>
      <c r="H107" s="157">
        <v>5</v>
      </c>
      <c r="I107" s="157">
        <v>0</v>
      </c>
      <c r="J107" s="141" t="s">
        <v>10</v>
      </c>
      <c r="K107" s="143" t="s">
        <v>10</v>
      </c>
      <c r="L107" s="143" t="s">
        <v>10</v>
      </c>
      <c r="M107" s="169" t="s">
        <v>206</v>
      </c>
      <c r="N107" s="120">
        <v>2011</v>
      </c>
      <c r="O107" s="171" t="s">
        <v>115</v>
      </c>
      <c r="P107" s="26">
        <v>36</v>
      </c>
      <c r="Q107" s="123" t="s">
        <v>186</v>
      </c>
      <c r="R107" s="125" t="s">
        <v>10</v>
      </c>
    </row>
    <row r="108" spans="1:18" ht="24.95" customHeight="1" x14ac:dyDescent="0.2">
      <c r="A108" s="128"/>
      <c r="B108" s="149"/>
      <c r="C108" s="132"/>
      <c r="D108" s="3" t="s">
        <v>30</v>
      </c>
      <c r="E108" s="138"/>
      <c r="F108" s="136"/>
      <c r="G108" s="138"/>
      <c r="H108" s="158"/>
      <c r="I108" s="158"/>
      <c r="J108" s="142"/>
      <c r="K108" s="144"/>
      <c r="L108" s="144"/>
      <c r="M108" s="170"/>
      <c r="N108" s="120"/>
      <c r="O108" s="171"/>
      <c r="P108" s="27" t="s">
        <v>130</v>
      </c>
      <c r="Q108" s="124"/>
      <c r="R108" s="147"/>
    </row>
    <row r="109" spans="1:18" ht="24.95" customHeight="1" x14ac:dyDescent="0.2">
      <c r="A109" s="127">
        <v>51</v>
      </c>
      <c r="B109" s="148" t="s">
        <v>191</v>
      </c>
      <c r="C109" s="131" t="s">
        <v>192</v>
      </c>
      <c r="D109" s="6" t="s">
        <v>29</v>
      </c>
      <c r="E109" s="137">
        <v>44621</v>
      </c>
      <c r="F109" s="135" t="s">
        <v>232</v>
      </c>
      <c r="G109" s="137">
        <v>45075</v>
      </c>
      <c r="H109" s="157">
        <v>5</v>
      </c>
      <c r="I109" s="157">
        <v>0</v>
      </c>
      <c r="J109" s="141" t="s">
        <v>10</v>
      </c>
      <c r="K109" s="143" t="s">
        <v>10</v>
      </c>
      <c r="L109" s="143" t="s">
        <v>10</v>
      </c>
      <c r="M109" s="169" t="s">
        <v>134</v>
      </c>
      <c r="N109" s="120">
        <v>2016</v>
      </c>
      <c r="O109" s="171" t="s">
        <v>115</v>
      </c>
      <c r="P109" s="26">
        <v>35</v>
      </c>
      <c r="Q109" s="123" t="s">
        <v>186</v>
      </c>
      <c r="R109" s="125" t="s">
        <v>10</v>
      </c>
    </row>
    <row r="110" spans="1:18" ht="24.95" customHeight="1" x14ac:dyDescent="0.2">
      <c r="A110" s="128"/>
      <c r="B110" s="149"/>
      <c r="C110" s="132"/>
      <c r="D110" s="3" t="s">
        <v>30</v>
      </c>
      <c r="E110" s="138"/>
      <c r="F110" s="136"/>
      <c r="G110" s="138"/>
      <c r="H110" s="158"/>
      <c r="I110" s="158"/>
      <c r="J110" s="142"/>
      <c r="K110" s="144"/>
      <c r="L110" s="144"/>
      <c r="M110" s="170"/>
      <c r="N110" s="120"/>
      <c r="O110" s="171"/>
      <c r="P110" s="27" t="s">
        <v>130</v>
      </c>
      <c r="Q110" s="124"/>
      <c r="R110" s="147"/>
    </row>
    <row r="111" spans="1:18" ht="24.95" customHeight="1" x14ac:dyDescent="0.2">
      <c r="A111" s="127">
        <v>52</v>
      </c>
      <c r="B111" s="148" t="s">
        <v>193</v>
      </c>
      <c r="C111" s="131" t="s">
        <v>194</v>
      </c>
      <c r="D111" s="6" t="s">
        <v>29</v>
      </c>
      <c r="E111" s="137">
        <v>44621</v>
      </c>
      <c r="F111" s="135" t="s">
        <v>232</v>
      </c>
      <c r="G111" s="137">
        <v>45075</v>
      </c>
      <c r="H111" s="157">
        <v>5</v>
      </c>
      <c r="I111" s="157">
        <v>0</v>
      </c>
      <c r="J111" s="141" t="s">
        <v>10</v>
      </c>
      <c r="K111" s="143" t="s">
        <v>10</v>
      </c>
      <c r="L111" s="143" t="s">
        <v>10</v>
      </c>
      <c r="M111" s="169" t="s">
        <v>205</v>
      </c>
      <c r="N111" s="120">
        <v>2012</v>
      </c>
      <c r="O111" s="171" t="s">
        <v>115</v>
      </c>
      <c r="P111" s="26">
        <v>34</v>
      </c>
      <c r="Q111" s="123" t="s">
        <v>186</v>
      </c>
      <c r="R111" s="125" t="s">
        <v>10</v>
      </c>
    </row>
    <row r="112" spans="1:18" ht="24.95" customHeight="1" x14ac:dyDescent="0.2">
      <c r="A112" s="128"/>
      <c r="B112" s="149"/>
      <c r="C112" s="132"/>
      <c r="D112" s="3" t="s">
        <v>30</v>
      </c>
      <c r="E112" s="138"/>
      <c r="F112" s="136"/>
      <c r="G112" s="138"/>
      <c r="H112" s="158"/>
      <c r="I112" s="158"/>
      <c r="J112" s="142"/>
      <c r="K112" s="144"/>
      <c r="L112" s="144"/>
      <c r="M112" s="170"/>
      <c r="N112" s="120"/>
      <c r="O112" s="171"/>
      <c r="P112" s="27" t="s">
        <v>130</v>
      </c>
      <c r="Q112" s="124"/>
      <c r="R112" s="147"/>
    </row>
    <row r="113" spans="1:18" ht="24.95" customHeight="1" x14ac:dyDescent="0.2">
      <c r="A113" s="127">
        <v>53</v>
      </c>
      <c r="B113" s="148" t="s">
        <v>195</v>
      </c>
      <c r="C113" s="131" t="s">
        <v>196</v>
      </c>
      <c r="D113" s="6" t="s">
        <v>29</v>
      </c>
      <c r="E113" s="137">
        <v>44621</v>
      </c>
      <c r="F113" s="135" t="s">
        <v>232</v>
      </c>
      <c r="G113" s="137">
        <v>45075</v>
      </c>
      <c r="H113" s="157">
        <v>5</v>
      </c>
      <c r="I113" s="157">
        <v>0</v>
      </c>
      <c r="J113" s="141" t="s">
        <v>10</v>
      </c>
      <c r="K113" s="143" t="s">
        <v>10</v>
      </c>
      <c r="L113" s="143" t="s">
        <v>10</v>
      </c>
      <c r="M113" s="169" t="s">
        <v>211</v>
      </c>
      <c r="N113" s="120">
        <v>2015</v>
      </c>
      <c r="O113" s="171" t="s">
        <v>115</v>
      </c>
      <c r="P113" s="26">
        <v>30</v>
      </c>
      <c r="Q113" s="123" t="s">
        <v>186</v>
      </c>
      <c r="R113" s="125" t="s">
        <v>10</v>
      </c>
    </row>
    <row r="114" spans="1:18" ht="24.95" customHeight="1" x14ac:dyDescent="0.2">
      <c r="A114" s="128"/>
      <c r="B114" s="149"/>
      <c r="C114" s="132"/>
      <c r="D114" s="3" t="s">
        <v>30</v>
      </c>
      <c r="E114" s="138"/>
      <c r="F114" s="136"/>
      <c r="G114" s="138"/>
      <c r="H114" s="158"/>
      <c r="I114" s="158"/>
      <c r="J114" s="142"/>
      <c r="K114" s="144"/>
      <c r="L114" s="144"/>
      <c r="M114" s="170"/>
      <c r="N114" s="120"/>
      <c r="O114" s="171"/>
      <c r="P114" s="27" t="s">
        <v>130</v>
      </c>
      <c r="Q114" s="124"/>
      <c r="R114" s="147"/>
    </row>
    <row r="115" spans="1:18" ht="24.95" customHeight="1" x14ac:dyDescent="0.2">
      <c r="A115" s="127">
        <v>54</v>
      </c>
      <c r="B115" s="148" t="s">
        <v>198</v>
      </c>
      <c r="C115" s="131" t="s">
        <v>199</v>
      </c>
      <c r="D115" s="6" t="s">
        <v>29</v>
      </c>
      <c r="E115" s="137">
        <v>44621</v>
      </c>
      <c r="F115" s="135" t="s">
        <v>232</v>
      </c>
      <c r="G115" s="137">
        <v>45075</v>
      </c>
      <c r="H115" s="157">
        <v>5</v>
      </c>
      <c r="I115" s="157">
        <v>0</v>
      </c>
      <c r="J115" s="141" t="s">
        <v>10</v>
      </c>
      <c r="K115" s="143" t="s">
        <v>10</v>
      </c>
      <c r="L115" s="143" t="s">
        <v>10</v>
      </c>
      <c r="M115" s="169" t="s">
        <v>210</v>
      </c>
      <c r="N115" s="120">
        <v>2019</v>
      </c>
      <c r="O115" s="171" t="s">
        <v>115</v>
      </c>
      <c r="P115" s="26">
        <v>28</v>
      </c>
      <c r="Q115" s="123" t="s">
        <v>186</v>
      </c>
      <c r="R115" s="125" t="s">
        <v>10</v>
      </c>
    </row>
    <row r="116" spans="1:18" ht="24.95" customHeight="1" x14ac:dyDescent="0.2">
      <c r="A116" s="128"/>
      <c r="B116" s="149"/>
      <c r="C116" s="132"/>
      <c r="D116" s="3" t="s">
        <v>30</v>
      </c>
      <c r="E116" s="138"/>
      <c r="F116" s="136"/>
      <c r="G116" s="138"/>
      <c r="H116" s="158"/>
      <c r="I116" s="158"/>
      <c r="J116" s="142"/>
      <c r="K116" s="144"/>
      <c r="L116" s="144"/>
      <c r="M116" s="170"/>
      <c r="N116" s="120"/>
      <c r="O116" s="171"/>
      <c r="P116" s="27" t="s">
        <v>130</v>
      </c>
      <c r="Q116" s="124"/>
      <c r="R116" s="147"/>
    </row>
    <row r="117" spans="1:18" ht="24.95" customHeight="1" x14ac:dyDescent="0.2">
      <c r="A117" s="127">
        <v>55</v>
      </c>
      <c r="B117" s="148" t="s">
        <v>200</v>
      </c>
      <c r="C117" s="131" t="s">
        <v>201</v>
      </c>
      <c r="D117" s="6" t="s">
        <v>29</v>
      </c>
      <c r="E117" s="137">
        <v>44621</v>
      </c>
      <c r="F117" s="135" t="s">
        <v>232</v>
      </c>
      <c r="G117" s="137">
        <v>45075</v>
      </c>
      <c r="H117" s="157">
        <v>5</v>
      </c>
      <c r="I117" s="157">
        <v>0</v>
      </c>
      <c r="J117" s="141" t="s">
        <v>10</v>
      </c>
      <c r="K117" s="143" t="s">
        <v>10</v>
      </c>
      <c r="L117" s="143" t="s">
        <v>10</v>
      </c>
      <c r="M117" s="169" t="s">
        <v>210</v>
      </c>
      <c r="N117" s="120">
        <v>2019</v>
      </c>
      <c r="O117" s="171" t="s">
        <v>115</v>
      </c>
      <c r="P117" s="26">
        <v>27</v>
      </c>
      <c r="Q117" s="123" t="s">
        <v>186</v>
      </c>
      <c r="R117" s="125" t="s">
        <v>10</v>
      </c>
    </row>
    <row r="118" spans="1:18" ht="24.95" customHeight="1" x14ac:dyDescent="0.2">
      <c r="A118" s="128"/>
      <c r="B118" s="149"/>
      <c r="C118" s="132"/>
      <c r="D118" s="3" t="s">
        <v>30</v>
      </c>
      <c r="E118" s="138"/>
      <c r="F118" s="136"/>
      <c r="G118" s="138"/>
      <c r="H118" s="158"/>
      <c r="I118" s="158"/>
      <c r="J118" s="142"/>
      <c r="K118" s="144"/>
      <c r="L118" s="144"/>
      <c r="M118" s="170"/>
      <c r="N118" s="120"/>
      <c r="O118" s="171"/>
      <c r="P118" s="27" t="s">
        <v>130</v>
      </c>
      <c r="Q118" s="124"/>
      <c r="R118" s="147"/>
    </row>
    <row r="119" spans="1:18" ht="24.95" customHeight="1" x14ac:dyDescent="0.2">
      <c r="A119" s="127">
        <v>56</v>
      </c>
      <c r="B119" s="148" t="s">
        <v>202</v>
      </c>
      <c r="C119" s="131" t="s">
        <v>203</v>
      </c>
      <c r="D119" s="6" t="s">
        <v>29</v>
      </c>
      <c r="E119" s="137">
        <v>44621</v>
      </c>
      <c r="F119" s="135" t="s">
        <v>232</v>
      </c>
      <c r="G119" s="137">
        <v>45075</v>
      </c>
      <c r="H119" s="157">
        <v>5</v>
      </c>
      <c r="I119" s="157">
        <v>0</v>
      </c>
      <c r="J119" s="141" t="s">
        <v>10</v>
      </c>
      <c r="K119" s="143" t="s">
        <v>10</v>
      </c>
      <c r="L119" s="143" t="s">
        <v>10</v>
      </c>
      <c r="M119" s="169" t="s">
        <v>209</v>
      </c>
      <c r="N119" s="120">
        <v>2020</v>
      </c>
      <c r="O119" s="171" t="s">
        <v>115</v>
      </c>
      <c r="P119" s="26">
        <v>26</v>
      </c>
      <c r="Q119" s="123" t="s">
        <v>186</v>
      </c>
      <c r="R119" s="125" t="s">
        <v>10</v>
      </c>
    </row>
    <row r="120" spans="1:18" ht="24.95" customHeight="1" x14ac:dyDescent="0.2">
      <c r="A120" s="128"/>
      <c r="B120" s="149"/>
      <c r="C120" s="132"/>
      <c r="D120" s="3" t="s">
        <v>30</v>
      </c>
      <c r="E120" s="138"/>
      <c r="F120" s="136"/>
      <c r="G120" s="138"/>
      <c r="H120" s="158"/>
      <c r="I120" s="158"/>
      <c r="J120" s="142"/>
      <c r="K120" s="144"/>
      <c r="L120" s="144"/>
      <c r="M120" s="170"/>
      <c r="N120" s="120"/>
      <c r="O120" s="171"/>
      <c r="P120" s="27" t="s">
        <v>130</v>
      </c>
      <c r="Q120" s="124"/>
      <c r="R120" s="147"/>
    </row>
    <row r="121" spans="1:18" ht="24.95" customHeight="1" x14ac:dyDescent="0.2">
      <c r="A121" s="29"/>
      <c r="B121" s="7"/>
      <c r="C121" s="8"/>
      <c r="D121" s="8"/>
      <c r="E121" s="9"/>
      <c r="F121" s="30"/>
      <c r="G121" s="31"/>
      <c r="H121" s="32"/>
      <c r="I121" s="33"/>
      <c r="J121" s="34"/>
      <c r="K121" s="34"/>
      <c r="L121" s="34"/>
      <c r="M121" s="12"/>
      <c r="N121" s="34"/>
      <c r="O121" s="10"/>
      <c r="P121" s="19"/>
      <c r="Q121" s="35"/>
      <c r="R121" s="19"/>
    </row>
    <row r="122" spans="1:18" ht="15" customHeight="1" x14ac:dyDescent="0.2">
      <c r="A122" s="38"/>
      <c r="B122" s="38"/>
      <c r="C122" s="38"/>
      <c r="D122" s="39"/>
      <c r="E122" s="40"/>
      <c r="F122" s="1"/>
      <c r="G122" s="11"/>
      <c r="H122" s="41"/>
      <c r="I122" s="41"/>
      <c r="J122" s="41"/>
      <c r="K122" s="41"/>
      <c r="L122" s="41"/>
      <c r="M122" s="160" t="s">
        <v>499</v>
      </c>
      <c r="N122" s="160"/>
      <c r="O122" s="160"/>
      <c r="P122" s="160"/>
      <c r="Q122" s="160"/>
      <c r="R122" s="42"/>
    </row>
    <row r="123" spans="1:18" ht="15" customHeight="1" x14ac:dyDescent="0.2">
      <c r="A123" s="38"/>
      <c r="B123" s="38"/>
      <c r="C123" s="38"/>
      <c r="D123" s="39"/>
      <c r="E123" s="40"/>
      <c r="F123" s="1"/>
      <c r="G123" s="11"/>
      <c r="H123" s="41"/>
      <c r="I123" s="41"/>
      <c r="J123" s="41"/>
      <c r="K123" s="41"/>
      <c r="L123" s="41"/>
      <c r="M123" s="160" t="s">
        <v>506</v>
      </c>
      <c r="N123" s="160"/>
      <c r="O123" s="160"/>
      <c r="P123" s="160"/>
      <c r="Q123" s="160"/>
      <c r="R123" s="42"/>
    </row>
    <row r="124" spans="1:18" ht="15" x14ac:dyDescent="0.2">
      <c r="A124" s="43"/>
      <c r="B124" s="166"/>
      <c r="C124" s="166"/>
      <c r="D124" s="38"/>
      <c r="E124" s="40"/>
      <c r="F124" s="1"/>
      <c r="G124" s="11"/>
      <c r="H124" s="41"/>
      <c r="I124" s="41"/>
      <c r="J124" s="41"/>
      <c r="K124" s="41"/>
      <c r="L124" s="41"/>
      <c r="M124" s="167" t="s">
        <v>507</v>
      </c>
      <c r="N124" s="167"/>
      <c r="O124" s="167"/>
      <c r="P124" s="167"/>
      <c r="Q124" s="167"/>
      <c r="R124" s="42"/>
    </row>
    <row r="125" spans="1:18" ht="15" x14ac:dyDescent="0.2">
      <c r="A125" s="45"/>
      <c r="B125" s="168"/>
      <c r="C125" s="168"/>
      <c r="D125" s="45"/>
      <c r="E125" s="40"/>
      <c r="F125" s="1"/>
      <c r="G125" s="11"/>
      <c r="H125" s="41"/>
      <c r="I125" s="41"/>
      <c r="J125" s="41"/>
      <c r="K125" s="41"/>
      <c r="L125" s="41"/>
      <c r="M125" s="2"/>
      <c r="N125" s="2"/>
      <c r="O125" s="2"/>
      <c r="P125" s="2"/>
      <c r="Q125" s="47"/>
      <c r="R125" s="42"/>
    </row>
    <row r="126" spans="1:18" ht="15" x14ac:dyDescent="0.2">
      <c r="A126" s="46"/>
      <c r="B126" s="44"/>
      <c r="C126" s="44"/>
      <c r="D126" s="39"/>
      <c r="E126" s="40"/>
      <c r="F126" s="1"/>
      <c r="G126" s="11"/>
      <c r="H126" s="41"/>
      <c r="I126" s="41"/>
      <c r="J126" s="41"/>
      <c r="K126" s="41"/>
      <c r="L126" s="41"/>
      <c r="M126" s="2"/>
      <c r="N126" s="2"/>
      <c r="O126" s="2"/>
      <c r="P126" s="2"/>
      <c r="Q126" s="47"/>
      <c r="R126" s="42"/>
    </row>
    <row r="127" spans="1:18" ht="10.5" customHeight="1" x14ac:dyDescent="0.2">
      <c r="A127" s="43"/>
      <c r="B127" s="43"/>
      <c r="C127" s="43"/>
      <c r="D127" s="39"/>
      <c r="E127" s="40"/>
      <c r="F127" s="1"/>
      <c r="G127" s="11"/>
      <c r="H127" s="41"/>
      <c r="I127" s="41"/>
      <c r="J127" s="41"/>
      <c r="K127" s="41"/>
      <c r="L127" s="41"/>
      <c r="M127" s="2"/>
      <c r="N127" s="2"/>
      <c r="O127" s="2"/>
      <c r="P127" s="2"/>
      <c r="Q127" s="47"/>
      <c r="R127" s="42"/>
    </row>
    <row r="128" spans="1:18" ht="10.5" customHeight="1" x14ac:dyDescent="0.2">
      <c r="A128" s="43"/>
      <c r="B128" s="43"/>
      <c r="C128" s="43"/>
      <c r="D128" s="39"/>
      <c r="E128" s="40"/>
      <c r="F128" s="1"/>
      <c r="G128" s="11"/>
      <c r="H128" s="41"/>
      <c r="I128" s="41"/>
      <c r="J128" s="41"/>
      <c r="K128" s="41"/>
      <c r="L128" s="41"/>
      <c r="M128" s="2"/>
      <c r="N128" s="2"/>
      <c r="O128" s="2"/>
      <c r="P128" s="2"/>
      <c r="Q128" s="47"/>
      <c r="R128" s="42"/>
    </row>
    <row r="129" spans="1:18" ht="10.5" customHeight="1" x14ac:dyDescent="0.2">
      <c r="A129" s="43"/>
      <c r="B129" s="43"/>
      <c r="C129" s="43"/>
      <c r="D129" s="39"/>
      <c r="E129" s="40"/>
      <c r="F129" s="1"/>
      <c r="G129" s="11"/>
      <c r="H129" s="41"/>
      <c r="I129" s="41"/>
      <c r="J129" s="41"/>
      <c r="K129" s="41"/>
      <c r="L129" s="41"/>
      <c r="M129" s="2"/>
      <c r="N129" s="2"/>
      <c r="O129" s="2"/>
      <c r="P129" s="2"/>
      <c r="Q129" s="47"/>
      <c r="R129" s="42"/>
    </row>
    <row r="130" spans="1:18" ht="15" customHeight="1" x14ac:dyDescent="0.2">
      <c r="A130" s="43"/>
      <c r="B130" s="166"/>
      <c r="C130" s="166"/>
      <c r="D130" s="39"/>
      <c r="E130" s="40"/>
      <c r="F130" s="1"/>
      <c r="G130" s="11"/>
      <c r="H130" s="41"/>
      <c r="I130" s="41"/>
      <c r="J130" s="41"/>
      <c r="K130" s="41"/>
      <c r="L130" s="41"/>
      <c r="M130" s="160" t="s">
        <v>236</v>
      </c>
      <c r="N130" s="160"/>
      <c r="O130" s="160"/>
      <c r="P130" s="160"/>
      <c r="Q130" s="160"/>
      <c r="R130" s="42"/>
    </row>
    <row r="131" spans="1:18" ht="14.25" customHeight="1" x14ac:dyDescent="0.2">
      <c r="A131" s="43"/>
      <c r="B131" s="166"/>
      <c r="C131" s="166"/>
      <c r="D131" s="39"/>
      <c r="E131" s="40"/>
      <c r="F131" s="1"/>
      <c r="G131" s="11"/>
      <c r="H131" s="41"/>
      <c r="I131" s="41"/>
      <c r="J131" s="41"/>
      <c r="K131" s="41"/>
      <c r="L131" s="41"/>
      <c r="M131" s="160" t="s">
        <v>508</v>
      </c>
      <c r="N131" s="160"/>
      <c r="O131" s="160"/>
      <c r="P131" s="160"/>
      <c r="Q131" s="160"/>
      <c r="R131" s="42"/>
    </row>
    <row r="132" spans="1:18" ht="13.5" customHeight="1" x14ac:dyDescent="0.25">
      <c r="A132" s="159"/>
      <c r="B132" s="159"/>
      <c r="C132" s="159"/>
      <c r="D132" s="159"/>
      <c r="E132" s="48"/>
      <c r="F132" s="1"/>
      <c r="G132" s="11"/>
      <c r="H132" s="41"/>
      <c r="I132" s="41"/>
      <c r="J132" s="41"/>
      <c r="K132" s="41"/>
      <c r="L132" s="41"/>
      <c r="M132" s="160"/>
      <c r="N132" s="160"/>
      <c r="O132" s="160"/>
      <c r="P132" s="160"/>
      <c r="Q132" s="160"/>
      <c r="R132" s="42"/>
    </row>
    <row r="133" spans="1:18" ht="14.25" customHeight="1" x14ac:dyDescent="0.25">
      <c r="A133" s="159"/>
      <c r="B133" s="159"/>
      <c r="C133" s="159"/>
      <c r="D133" s="159"/>
      <c r="E133" s="48"/>
      <c r="F133" s="1"/>
      <c r="G133" s="11"/>
      <c r="H133" s="41"/>
      <c r="I133" s="41"/>
      <c r="J133" s="41"/>
      <c r="K133" s="41"/>
      <c r="L133" s="41"/>
      <c r="M133" s="160"/>
      <c r="N133" s="160"/>
      <c r="O133" s="160"/>
      <c r="P133" s="160"/>
      <c r="Q133" s="160"/>
      <c r="R133" s="42"/>
    </row>
    <row r="134" spans="1:18" ht="15" x14ac:dyDescent="0.25">
      <c r="A134" s="161"/>
      <c r="B134" s="161"/>
      <c r="C134" s="161"/>
      <c r="D134" s="161"/>
      <c r="E134" s="48"/>
      <c r="F134" s="1"/>
      <c r="G134" s="11"/>
      <c r="H134" s="41"/>
      <c r="I134" s="41"/>
      <c r="J134" s="41"/>
      <c r="K134" s="41"/>
      <c r="L134" s="41"/>
      <c r="M134" s="162"/>
      <c r="N134" s="162"/>
      <c r="O134" s="162"/>
      <c r="P134" s="162"/>
      <c r="Q134" s="42"/>
      <c r="R134" s="42"/>
    </row>
    <row r="135" spans="1:18" ht="15" x14ac:dyDescent="0.25">
      <c r="A135" s="163"/>
      <c r="B135" s="164"/>
      <c r="C135" s="164"/>
      <c r="M135" s="165"/>
      <c r="N135" s="165"/>
      <c r="O135" s="165"/>
      <c r="P135" s="165"/>
    </row>
  </sheetData>
  <autoFilter ref="D1:D135" xr:uid="{619B7453-E72B-4F2A-B86F-F18D6E673E54}"/>
  <mergeCells count="934">
    <mergeCell ref="K27:K28"/>
    <mergeCell ref="L27:L28"/>
    <mergeCell ref="M27:M28"/>
    <mergeCell ref="N27:N28"/>
    <mergeCell ref="O27:O28"/>
    <mergeCell ref="Q27:Q28"/>
    <mergeCell ref="R27:R28"/>
    <mergeCell ref="A27:A28"/>
    <mergeCell ref="B27:B28"/>
    <mergeCell ref="C27:C28"/>
    <mergeCell ref="E27:E28"/>
    <mergeCell ref="F27:F28"/>
    <mergeCell ref="G27:G28"/>
    <mergeCell ref="H27:H28"/>
    <mergeCell ref="I27:I28"/>
    <mergeCell ref="J27:J28"/>
    <mergeCell ref="A1:R1"/>
    <mergeCell ref="A2:R2"/>
    <mergeCell ref="A3:R3"/>
    <mergeCell ref="A5:A7"/>
    <mergeCell ref="B5:B7"/>
    <mergeCell ref="C5:C7"/>
    <mergeCell ref="D5:E5"/>
    <mergeCell ref="F5:G5"/>
    <mergeCell ref="H5:I6"/>
    <mergeCell ref="J5:L6"/>
    <mergeCell ref="M5:O5"/>
    <mergeCell ref="P5:P7"/>
    <mergeCell ref="Q5:Q7"/>
    <mergeCell ref="R5:R7"/>
    <mergeCell ref="D6:D7"/>
    <mergeCell ref="E6:E7"/>
    <mergeCell ref="F6:F7"/>
    <mergeCell ref="G6:G7"/>
    <mergeCell ref="M6:M7"/>
    <mergeCell ref="N6:N7"/>
    <mergeCell ref="O6:O7"/>
    <mergeCell ref="A9:A10"/>
    <mergeCell ref="B9:B10"/>
    <mergeCell ref="C9:C10"/>
    <mergeCell ref="E9:E10"/>
    <mergeCell ref="F9:F10"/>
    <mergeCell ref="G9:G10"/>
    <mergeCell ref="H9:H10"/>
    <mergeCell ref="I9:I10"/>
    <mergeCell ref="J9:J10"/>
    <mergeCell ref="R9:R10"/>
    <mergeCell ref="K9:K10"/>
    <mergeCell ref="L9:L10"/>
    <mergeCell ref="M9:M10"/>
    <mergeCell ref="N9:N10"/>
    <mergeCell ref="O9:O10"/>
    <mergeCell ref="Q9:Q10"/>
    <mergeCell ref="J13:J14"/>
    <mergeCell ref="B11:B12"/>
    <mergeCell ref="C11:C12"/>
    <mergeCell ref="E11:E12"/>
    <mergeCell ref="F11:F12"/>
    <mergeCell ref="G11:G12"/>
    <mergeCell ref="H11:H12"/>
    <mergeCell ref="I11:I12"/>
    <mergeCell ref="J11:J12"/>
    <mergeCell ref="L11:L12"/>
    <mergeCell ref="M11:M12"/>
    <mergeCell ref="N11:N12"/>
    <mergeCell ref="O11:O12"/>
    <mergeCell ref="Q11:Q12"/>
    <mergeCell ref="R13:R14"/>
    <mergeCell ref="K13:K14"/>
    <mergeCell ref="L13:L14"/>
    <mergeCell ref="M13:M14"/>
    <mergeCell ref="N13:N14"/>
    <mergeCell ref="O13:O14"/>
    <mergeCell ref="Q13:Q14"/>
    <mergeCell ref="R11:R12"/>
    <mergeCell ref="K11:K12"/>
    <mergeCell ref="A11:A12"/>
    <mergeCell ref="A15:A16"/>
    <mergeCell ref="B15:B16"/>
    <mergeCell ref="C15:C16"/>
    <mergeCell ref="E15:E16"/>
    <mergeCell ref="F15:F16"/>
    <mergeCell ref="G15:G16"/>
    <mergeCell ref="H15:H16"/>
    <mergeCell ref="I15:I16"/>
    <mergeCell ref="A13:A14"/>
    <mergeCell ref="B13:B14"/>
    <mergeCell ref="C13:C14"/>
    <mergeCell ref="E13:E14"/>
    <mergeCell ref="F13:F14"/>
    <mergeCell ref="G13:G14"/>
    <mergeCell ref="H13:H14"/>
    <mergeCell ref="I13:I14"/>
    <mergeCell ref="J15:J16"/>
    <mergeCell ref="A17:A18"/>
    <mergeCell ref="B17:B18"/>
    <mergeCell ref="C17:C18"/>
    <mergeCell ref="E17:E18"/>
    <mergeCell ref="F17:F18"/>
    <mergeCell ref="G17:G18"/>
    <mergeCell ref="H17:H18"/>
    <mergeCell ref="I17:I18"/>
    <mergeCell ref="J17:J18"/>
    <mergeCell ref="R15:R16"/>
    <mergeCell ref="K15:K16"/>
    <mergeCell ref="L15:L16"/>
    <mergeCell ref="M15:M16"/>
    <mergeCell ref="N15:N16"/>
    <mergeCell ref="O15:O16"/>
    <mergeCell ref="Q15:Q16"/>
    <mergeCell ref="R17:R18"/>
    <mergeCell ref="K17:K18"/>
    <mergeCell ref="L17:L18"/>
    <mergeCell ref="M17:M18"/>
    <mergeCell ref="N17:N18"/>
    <mergeCell ref="O17:O18"/>
    <mergeCell ref="Q17:Q18"/>
    <mergeCell ref="J21:J22"/>
    <mergeCell ref="B19:B20"/>
    <mergeCell ref="C19:C20"/>
    <mergeCell ref="E19:E20"/>
    <mergeCell ref="F19:F20"/>
    <mergeCell ref="G19:G20"/>
    <mergeCell ref="H19:H20"/>
    <mergeCell ref="I19:I20"/>
    <mergeCell ref="J19:J20"/>
    <mergeCell ref="L19:L20"/>
    <mergeCell ref="M19:M20"/>
    <mergeCell ref="N19:N20"/>
    <mergeCell ref="O19:O20"/>
    <mergeCell ref="Q19:Q20"/>
    <mergeCell ref="R21:R22"/>
    <mergeCell ref="K21:K22"/>
    <mergeCell ref="L21:L22"/>
    <mergeCell ref="M21:M22"/>
    <mergeCell ref="N21:N22"/>
    <mergeCell ref="O21:O22"/>
    <mergeCell ref="Q21:Q22"/>
    <mergeCell ref="R19:R20"/>
    <mergeCell ref="K19:K20"/>
    <mergeCell ref="A19:A20"/>
    <mergeCell ref="A23:A24"/>
    <mergeCell ref="B23:B24"/>
    <mergeCell ref="C23:C24"/>
    <mergeCell ref="E23:E24"/>
    <mergeCell ref="F23:F24"/>
    <mergeCell ref="G23:G24"/>
    <mergeCell ref="H23:H24"/>
    <mergeCell ref="I23:I24"/>
    <mergeCell ref="A21:A22"/>
    <mergeCell ref="B21:B22"/>
    <mergeCell ref="C21:C22"/>
    <mergeCell ref="E21:E22"/>
    <mergeCell ref="F21:F22"/>
    <mergeCell ref="G21:G22"/>
    <mergeCell ref="H21:H22"/>
    <mergeCell ref="I21:I22"/>
    <mergeCell ref="J23:J24"/>
    <mergeCell ref="A25:A26"/>
    <mergeCell ref="B25:B26"/>
    <mergeCell ref="C25:C26"/>
    <mergeCell ref="E25:E26"/>
    <mergeCell ref="F25:F26"/>
    <mergeCell ref="G25:G26"/>
    <mergeCell ref="H25:H26"/>
    <mergeCell ref="I25:I26"/>
    <mergeCell ref="J25:J26"/>
    <mergeCell ref="R23:R24"/>
    <mergeCell ref="K23:K24"/>
    <mergeCell ref="L23:L24"/>
    <mergeCell ref="M23:M24"/>
    <mergeCell ref="N23:N24"/>
    <mergeCell ref="O23:O24"/>
    <mergeCell ref="Q23:Q24"/>
    <mergeCell ref="R25:R26"/>
    <mergeCell ref="K25:K26"/>
    <mergeCell ref="L25:L26"/>
    <mergeCell ref="M25:M26"/>
    <mergeCell ref="N25:N26"/>
    <mergeCell ref="O25:O26"/>
    <mergeCell ref="Q25:Q26"/>
    <mergeCell ref="J31:J32"/>
    <mergeCell ref="B29:B30"/>
    <mergeCell ref="C29:C30"/>
    <mergeCell ref="E29:E30"/>
    <mergeCell ref="F29:F30"/>
    <mergeCell ref="G29:G30"/>
    <mergeCell ref="H29:H30"/>
    <mergeCell ref="I29:I30"/>
    <mergeCell ref="J29:J30"/>
    <mergeCell ref="L29:L30"/>
    <mergeCell ref="M29:M30"/>
    <mergeCell ref="N29:N30"/>
    <mergeCell ref="O29:O30"/>
    <mergeCell ref="Q29:Q30"/>
    <mergeCell ref="R31:R32"/>
    <mergeCell ref="K31:K32"/>
    <mergeCell ref="L31:L32"/>
    <mergeCell ref="M31:M32"/>
    <mergeCell ref="N31:N32"/>
    <mergeCell ref="O31:O32"/>
    <mergeCell ref="Q31:Q32"/>
    <mergeCell ref="R29:R30"/>
    <mergeCell ref="K29:K30"/>
    <mergeCell ref="A29:A30"/>
    <mergeCell ref="A33:A34"/>
    <mergeCell ref="B33:B34"/>
    <mergeCell ref="C33:C34"/>
    <mergeCell ref="E33:E34"/>
    <mergeCell ref="F33:F34"/>
    <mergeCell ref="G33:G34"/>
    <mergeCell ref="H33:H34"/>
    <mergeCell ref="I33:I34"/>
    <mergeCell ref="A31:A32"/>
    <mergeCell ref="B31:B32"/>
    <mergeCell ref="C31:C32"/>
    <mergeCell ref="E31:E32"/>
    <mergeCell ref="F31:F32"/>
    <mergeCell ref="G31:G32"/>
    <mergeCell ref="H31:H32"/>
    <mergeCell ref="I31:I32"/>
    <mergeCell ref="J33:J34"/>
    <mergeCell ref="A35:A36"/>
    <mergeCell ref="B35:B36"/>
    <mergeCell ref="C35:C36"/>
    <mergeCell ref="E35:E36"/>
    <mergeCell ref="F35:F36"/>
    <mergeCell ref="G35:G36"/>
    <mergeCell ref="H35:H36"/>
    <mergeCell ref="I35:I36"/>
    <mergeCell ref="J35:J36"/>
    <mergeCell ref="R33:R34"/>
    <mergeCell ref="K33:K34"/>
    <mergeCell ref="L33:L34"/>
    <mergeCell ref="M33:M34"/>
    <mergeCell ref="N33:N34"/>
    <mergeCell ref="O33:O34"/>
    <mergeCell ref="Q33:Q34"/>
    <mergeCell ref="R35:R36"/>
    <mergeCell ref="K35:K36"/>
    <mergeCell ref="L35:L36"/>
    <mergeCell ref="M35:M36"/>
    <mergeCell ref="N35:N36"/>
    <mergeCell ref="O35:O36"/>
    <mergeCell ref="Q35:Q36"/>
    <mergeCell ref="J39:J40"/>
    <mergeCell ref="B37:B38"/>
    <mergeCell ref="C37:C38"/>
    <mergeCell ref="E37:E38"/>
    <mergeCell ref="F37:F38"/>
    <mergeCell ref="G37:G38"/>
    <mergeCell ref="H37:H38"/>
    <mergeCell ref="I37:I38"/>
    <mergeCell ref="J37:J38"/>
    <mergeCell ref="L37:L38"/>
    <mergeCell ref="M37:M38"/>
    <mergeCell ref="N37:N38"/>
    <mergeCell ref="O37:O38"/>
    <mergeCell ref="Q37:Q38"/>
    <mergeCell ref="R39:R40"/>
    <mergeCell ref="K39:K40"/>
    <mergeCell ref="L39:L40"/>
    <mergeCell ref="M39:M40"/>
    <mergeCell ref="N39:N40"/>
    <mergeCell ref="O39:O40"/>
    <mergeCell ref="Q39:Q40"/>
    <mergeCell ref="R37:R38"/>
    <mergeCell ref="K37:K38"/>
    <mergeCell ref="A37:A38"/>
    <mergeCell ref="A41:A42"/>
    <mergeCell ref="B41:B42"/>
    <mergeCell ref="C41:C42"/>
    <mergeCell ref="E41:E42"/>
    <mergeCell ref="F41:F42"/>
    <mergeCell ref="G41:G42"/>
    <mergeCell ref="H41:H42"/>
    <mergeCell ref="I41:I42"/>
    <mergeCell ref="A39:A40"/>
    <mergeCell ref="B39:B40"/>
    <mergeCell ref="C39:C40"/>
    <mergeCell ref="E39:E40"/>
    <mergeCell ref="F39:F40"/>
    <mergeCell ref="G39:G40"/>
    <mergeCell ref="H39:H40"/>
    <mergeCell ref="I39:I40"/>
    <mergeCell ref="J41:J42"/>
    <mergeCell ref="A43:A44"/>
    <mergeCell ref="B43:B44"/>
    <mergeCell ref="C43:C44"/>
    <mergeCell ref="E43:E44"/>
    <mergeCell ref="F43:F44"/>
    <mergeCell ref="G43:G44"/>
    <mergeCell ref="H43:H44"/>
    <mergeCell ref="I43:I44"/>
    <mergeCell ref="J43:J44"/>
    <mergeCell ref="R41:R42"/>
    <mergeCell ref="K41:K42"/>
    <mergeCell ref="L41:L42"/>
    <mergeCell ref="M41:M42"/>
    <mergeCell ref="N41:N42"/>
    <mergeCell ref="O41:O42"/>
    <mergeCell ref="Q41:Q42"/>
    <mergeCell ref="R43:R44"/>
    <mergeCell ref="K43:K44"/>
    <mergeCell ref="L43:L44"/>
    <mergeCell ref="M43:M44"/>
    <mergeCell ref="N43:N44"/>
    <mergeCell ref="O43:O44"/>
    <mergeCell ref="Q43:Q44"/>
    <mergeCell ref="J47:J48"/>
    <mergeCell ref="B45:B46"/>
    <mergeCell ref="C45:C46"/>
    <mergeCell ref="E45:E46"/>
    <mergeCell ref="F45:F46"/>
    <mergeCell ref="G45:G46"/>
    <mergeCell ref="H45:H46"/>
    <mergeCell ref="I45:I46"/>
    <mergeCell ref="J45:J46"/>
    <mergeCell ref="L45:L46"/>
    <mergeCell ref="M45:M46"/>
    <mergeCell ref="N45:N46"/>
    <mergeCell ref="O45:O46"/>
    <mergeCell ref="Q45:Q46"/>
    <mergeCell ref="R47:R48"/>
    <mergeCell ref="K47:K48"/>
    <mergeCell ref="L47:L48"/>
    <mergeCell ref="M47:M48"/>
    <mergeCell ref="N47:N48"/>
    <mergeCell ref="O47:O48"/>
    <mergeCell ref="Q47:Q48"/>
    <mergeCell ref="R45:R46"/>
    <mergeCell ref="K45:K46"/>
    <mergeCell ref="A45:A46"/>
    <mergeCell ref="A49:A50"/>
    <mergeCell ref="B49:B50"/>
    <mergeCell ref="C49:C50"/>
    <mergeCell ref="E49:E50"/>
    <mergeCell ref="F49:F50"/>
    <mergeCell ref="G49:G50"/>
    <mergeCell ref="H49:H50"/>
    <mergeCell ref="I49:I50"/>
    <mergeCell ref="A47:A48"/>
    <mergeCell ref="B47:B48"/>
    <mergeCell ref="C47:C48"/>
    <mergeCell ref="E47:E48"/>
    <mergeCell ref="F47:F48"/>
    <mergeCell ref="G47:G48"/>
    <mergeCell ref="H47:H48"/>
    <mergeCell ref="I47:I48"/>
    <mergeCell ref="J49:J50"/>
    <mergeCell ref="A51:A52"/>
    <mergeCell ref="B51:B52"/>
    <mergeCell ref="C51:C52"/>
    <mergeCell ref="E51:E52"/>
    <mergeCell ref="F51:F52"/>
    <mergeCell ref="G51:G52"/>
    <mergeCell ref="H51:H52"/>
    <mergeCell ref="I51:I52"/>
    <mergeCell ref="J51:J52"/>
    <mergeCell ref="R49:R50"/>
    <mergeCell ref="K49:K50"/>
    <mergeCell ref="L49:L50"/>
    <mergeCell ref="M49:M50"/>
    <mergeCell ref="N49:N50"/>
    <mergeCell ref="O49:O50"/>
    <mergeCell ref="Q49:Q50"/>
    <mergeCell ref="R51:R52"/>
    <mergeCell ref="K51:K52"/>
    <mergeCell ref="L51:L52"/>
    <mergeCell ref="M51:M52"/>
    <mergeCell ref="N51:N52"/>
    <mergeCell ref="O51:O52"/>
    <mergeCell ref="Q51:Q52"/>
    <mergeCell ref="J59:J60"/>
    <mergeCell ref="B53:B54"/>
    <mergeCell ref="C53:C54"/>
    <mergeCell ref="E53:E54"/>
    <mergeCell ref="F53:F54"/>
    <mergeCell ref="G53:G54"/>
    <mergeCell ref="H53:H54"/>
    <mergeCell ref="I53:I54"/>
    <mergeCell ref="J53:J54"/>
    <mergeCell ref="I55:I56"/>
    <mergeCell ref="J55:J56"/>
    <mergeCell ref="L53:L54"/>
    <mergeCell ref="M53:M54"/>
    <mergeCell ref="N53:N54"/>
    <mergeCell ref="O53:O54"/>
    <mergeCell ref="Q53:Q54"/>
    <mergeCell ref="R59:R60"/>
    <mergeCell ref="K59:K60"/>
    <mergeCell ref="L59:L60"/>
    <mergeCell ref="M59:M60"/>
    <mergeCell ref="N59:N60"/>
    <mergeCell ref="O59:O60"/>
    <mergeCell ref="Q59:Q60"/>
    <mergeCell ref="R53:R54"/>
    <mergeCell ref="K53:K54"/>
    <mergeCell ref="K55:K56"/>
    <mergeCell ref="L55:L56"/>
    <mergeCell ref="M55:M56"/>
    <mergeCell ref="N55:N56"/>
    <mergeCell ref="O55:O56"/>
    <mergeCell ref="Q55:Q56"/>
    <mergeCell ref="R55:R56"/>
    <mergeCell ref="K57:K58"/>
    <mergeCell ref="L57:L58"/>
    <mergeCell ref="M57:M58"/>
    <mergeCell ref="A53:A54"/>
    <mergeCell ref="A61:A62"/>
    <mergeCell ref="B61:B62"/>
    <mergeCell ref="C61:C62"/>
    <mergeCell ref="E61:E62"/>
    <mergeCell ref="F61:F62"/>
    <mergeCell ref="G61:G62"/>
    <mergeCell ref="H61:H62"/>
    <mergeCell ref="I61:I62"/>
    <mergeCell ref="A59:A60"/>
    <mergeCell ref="B59:B60"/>
    <mergeCell ref="C59:C60"/>
    <mergeCell ref="E59:E60"/>
    <mergeCell ref="F59:F60"/>
    <mergeCell ref="G59:G60"/>
    <mergeCell ref="H59:H60"/>
    <mergeCell ref="I59:I60"/>
    <mergeCell ref="A55:A56"/>
    <mergeCell ref="B55:B56"/>
    <mergeCell ref="C55:C56"/>
    <mergeCell ref="E55:E56"/>
    <mergeCell ref="F55:F56"/>
    <mergeCell ref="G55:G56"/>
    <mergeCell ref="H55:H56"/>
    <mergeCell ref="R63:R64"/>
    <mergeCell ref="K63:K64"/>
    <mergeCell ref="L63:L64"/>
    <mergeCell ref="M63:M64"/>
    <mergeCell ref="N63:N64"/>
    <mergeCell ref="O63:O64"/>
    <mergeCell ref="Q63:Q64"/>
    <mergeCell ref="J63:J64"/>
    <mergeCell ref="R61:R62"/>
    <mergeCell ref="K61:K62"/>
    <mergeCell ref="L61:L62"/>
    <mergeCell ref="M61:M62"/>
    <mergeCell ref="N61:N62"/>
    <mergeCell ref="O61:O62"/>
    <mergeCell ref="Q61:Q62"/>
    <mergeCell ref="J61:J62"/>
    <mergeCell ref="A63:A64"/>
    <mergeCell ref="A65:A66"/>
    <mergeCell ref="B65:B66"/>
    <mergeCell ref="C65:C66"/>
    <mergeCell ref="E65:E66"/>
    <mergeCell ref="F65:F66"/>
    <mergeCell ref="G65:G66"/>
    <mergeCell ref="H65:H66"/>
    <mergeCell ref="I65:I66"/>
    <mergeCell ref="B63:B64"/>
    <mergeCell ref="C63:C64"/>
    <mergeCell ref="E63:E64"/>
    <mergeCell ref="F63:F64"/>
    <mergeCell ref="G63:G64"/>
    <mergeCell ref="H63:H64"/>
    <mergeCell ref="I63:I64"/>
    <mergeCell ref="J65:J66"/>
    <mergeCell ref="A67:A68"/>
    <mergeCell ref="B67:B68"/>
    <mergeCell ref="C67:C68"/>
    <mergeCell ref="E67:E68"/>
    <mergeCell ref="F67:F68"/>
    <mergeCell ref="G67:G68"/>
    <mergeCell ref="H67:H68"/>
    <mergeCell ref="I67:I68"/>
    <mergeCell ref="J67:J68"/>
    <mergeCell ref="R65:R66"/>
    <mergeCell ref="K65:K66"/>
    <mergeCell ref="L65:L66"/>
    <mergeCell ref="M65:M66"/>
    <mergeCell ref="N65:N66"/>
    <mergeCell ref="O65:O66"/>
    <mergeCell ref="Q65:Q66"/>
    <mergeCell ref="R67:R68"/>
    <mergeCell ref="K67:K68"/>
    <mergeCell ref="L67:L68"/>
    <mergeCell ref="M67:M68"/>
    <mergeCell ref="N67:N68"/>
    <mergeCell ref="O67:O68"/>
    <mergeCell ref="Q67:Q68"/>
    <mergeCell ref="J71:J72"/>
    <mergeCell ref="B69:B70"/>
    <mergeCell ref="C69:C70"/>
    <mergeCell ref="E69:E70"/>
    <mergeCell ref="F69:F70"/>
    <mergeCell ref="G69:G70"/>
    <mergeCell ref="H69:H70"/>
    <mergeCell ref="I69:I70"/>
    <mergeCell ref="J69:J70"/>
    <mergeCell ref="L69:L70"/>
    <mergeCell ref="M69:M70"/>
    <mergeCell ref="N69:N70"/>
    <mergeCell ref="O69:O70"/>
    <mergeCell ref="Q69:Q70"/>
    <mergeCell ref="R71:R72"/>
    <mergeCell ref="K71:K72"/>
    <mergeCell ref="L71:L72"/>
    <mergeCell ref="M71:M72"/>
    <mergeCell ref="N71:N72"/>
    <mergeCell ref="O71:O72"/>
    <mergeCell ref="Q71:Q72"/>
    <mergeCell ref="R69:R70"/>
    <mergeCell ref="K69:K70"/>
    <mergeCell ref="A69:A70"/>
    <mergeCell ref="A73:A74"/>
    <mergeCell ref="B73:B74"/>
    <mergeCell ref="C73:C74"/>
    <mergeCell ref="E73:E74"/>
    <mergeCell ref="F73:F74"/>
    <mergeCell ref="G73:G74"/>
    <mergeCell ref="H73:H74"/>
    <mergeCell ref="I73:I74"/>
    <mergeCell ref="A71:A72"/>
    <mergeCell ref="B71:B72"/>
    <mergeCell ref="C71:C72"/>
    <mergeCell ref="E71:E72"/>
    <mergeCell ref="F71:F72"/>
    <mergeCell ref="G71:G72"/>
    <mergeCell ref="H71:H72"/>
    <mergeCell ref="I71:I72"/>
    <mergeCell ref="J73:J74"/>
    <mergeCell ref="A75:A76"/>
    <mergeCell ref="B75:B76"/>
    <mergeCell ref="C75:C76"/>
    <mergeCell ref="E75:E76"/>
    <mergeCell ref="F75:F76"/>
    <mergeCell ref="G75:G76"/>
    <mergeCell ref="H75:H76"/>
    <mergeCell ref="I75:I76"/>
    <mergeCell ref="J75:J76"/>
    <mergeCell ref="R73:R74"/>
    <mergeCell ref="K73:K74"/>
    <mergeCell ref="L73:L74"/>
    <mergeCell ref="M73:M74"/>
    <mergeCell ref="N73:N74"/>
    <mergeCell ref="O73:O74"/>
    <mergeCell ref="Q73:Q74"/>
    <mergeCell ref="R75:R76"/>
    <mergeCell ref="K75:K76"/>
    <mergeCell ref="L75:L76"/>
    <mergeCell ref="M75:M76"/>
    <mergeCell ref="N75:N76"/>
    <mergeCell ref="O75:O76"/>
    <mergeCell ref="Q75:Q76"/>
    <mergeCell ref="J79:J80"/>
    <mergeCell ref="B77:B78"/>
    <mergeCell ref="C77:C78"/>
    <mergeCell ref="E77:E78"/>
    <mergeCell ref="F77:F78"/>
    <mergeCell ref="G77:G78"/>
    <mergeCell ref="H77:H78"/>
    <mergeCell ref="I77:I78"/>
    <mergeCell ref="J77:J78"/>
    <mergeCell ref="L77:L78"/>
    <mergeCell ref="M77:M78"/>
    <mergeCell ref="N77:N78"/>
    <mergeCell ref="O77:O78"/>
    <mergeCell ref="Q77:Q78"/>
    <mergeCell ref="R79:R80"/>
    <mergeCell ref="K79:K80"/>
    <mergeCell ref="L79:L80"/>
    <mergeCell ref="M79:M80"/>
    <mergeCell ref="N79:N80"/>
    <mergeCell ref="O79:O80"/>
    <mergeCell ref="Q79:Q80"/>
    <mergeCell ref="R77:R78"/>
    <mergeCell ref="K77:K78"/>
    <mergeCell ref="A77:A78"/>
    <mergeCell ref="A81:A82"/>
    <mergeCell ref="B81:B82"/>
    <mergeCell ref="C81:C82"/>
    <mergeCell ref="E81:E82"/>
    <mergeCell ref="F81:F82"/>
    <mergeCell ref="G81:G82"/>
    <mergeCell ref="H81:H82"/>
    <mergeCell ref="I81:I82"/>
    <mergeCell ref="A79:A80"/>
    <mergeCell ref="B79:B80"/>
    <mergeCell ref="C79:C80"/>
    <mergeCell ref="E79:E80"/>
    <mergeCell ref="F79:F80"/>
    <mergeCell ref="G79:G80"/>
    <mergeCell ref="H79:H80"/>
    <mergeCell ref="I79:I80"/>
    <mergeCell ref="J81:J82"/>
    <mergeCell ref="R81:R82"/>
    <mergeCell ref="A87:A88"/>
    <mergeCell ref="B87:B88"/>
    <mergeCell ref="C87:C88"/>
    <mergeCell ref="E87:E88"/>
    <mergeCell ref="F87:F88"/>
    <mergeCell ref="G87:G88"/>
    <mergeCell ref="H87:H88"/>
    <mergeCell ref="I87:I88"/>
    <mergeCell ref="J87:J88"/>
    <mergeCell ref="K81:K82"/>
    <mergeCell ref="L81:L82"/>
    <mergeCell ref="M81:M82"/>
    <mergeCell ref="N81:N82"/>
    <mergeCell ref="O81:O82"/>
    <mergeCell ref="Q81:Q82"/>
    <mergeCell ref="R87:R88"/>
    <mergeCell ref="K87:K88"/>
    <mergeCell ref="L87:L88"/>
    <mergeCell ref="M87:M88"/>
    <mergeCell ref="N87:N88"/>
    <mergeCell ref="O87:O88"/>
    <mergeCell ref="Q87:Q88"/>
    <mergeCell ref="A83:A84"/>
    <mergeCell ref="A89:A90"/>
    <mergeCell ref="B89:B90"/>
    <mergeCell ref="C89:C90"/>
    <mergeCell ref="E89:E90"/>
    <mergeCell ref="F89:F90"/>
    <mergeCell ref="G89:G90"/>
    <mergeCell ref="H89:H90"/>
    <mergeCell ref="I89:I90"/>
    <mergeCell ref="E83:E84"/>
    <mergeCell ref="F83:F84"/>
    <mergeCell ref="G83:G84"/>
    <mergeCell ref="H83:H84"/>
    <mergeCell ref="I83:I84"/>
    <mergeCell ref="J89:J90"/>
    <mergeCell ref="A91:A92"/>
    <mergeCell ref="B91:B92"/>
    <mergeCell ref="C91:C92"/>
    <mergeCell ref="E91:E92"/>
    <mergeCell ref="F91:F92"/>
    <mergeCell ref="G91:G92"/>
    <mergeCell ref="H91:H92"/>
    <mergeCell ref="I91:I92"/>
    <mergeCell ref="J91:J92"/>
    <mergeCell ref="R89:R90"/>
    <mergeCell ref="K89:K90"/>
    <mergeCell ref="L89:L90"/>
    <mergeCell ref="M89:M90"/>
    <mergeCell ref="N89:N90"/>
    <mergeCell ref="O89:O90"/>
    <mergeCell ref="Q89:Q90"/>
    <mergeCell ref="R91:R92"/>
    <mergeCell ref="K91:K92"/>
    <mergeCell ref="L91:L92"/>
    <mergeCell ref="M91:M92"/>
    <mergeCell ref="N91:N92"/>
    <mergeCell ref="O91:O92"/>
    <mergeCell ref="Q91:Q92"/>
    <mergeCell ref="J95:J96"/>
    <mergeCell ref="B93:B94"/>
    <mergeCell ref="C93:C94"/>
    <mergeCell ref="E93:E94"/>
    <mergeCell ref="F93:F94"/>
    <mergeCell ref="G93:G94"/>
    <mergeCell ref="H93:H94"/>
    <mergeCell ref="I93:I94"/>
    <mergeCell ref="J93:J94"/>
    <mergeCell ref="L93:L94"/>
    <mergeCell ref="M93:M94"/>
    <mergeCell ref="N93:N94"/>
    <mergeCell ref="O93:O94"/>
    <mergeCell ref="Q93:Q94"/>
    <mergeCell ref="R95:R96"/>
    <mergeCell ref="K95:K96"/>
    <mergeCell ref="L95:L96"/>
    <mergeCell ref="M95:M96"/>
    <mergeCell ref="N95:N96"/>
    <mergeCell ref="O95:O96"/>
    <mergeCell ref="Q95:Q96"/>
    <mergeCell ref="R93:R94"/>
    <mergeCell ref="K93:K94"/>
    <mergeCell ref="A93:A94"/>
    <mergeCell ref="A97:A98"/>
    <mergeCell ref="B97:B98"/>
    <mergeCell ref="C97:C98"/>
    <mergeCell ref="E97:E98"/>
    <mergeCell ref="F97:F98"/>
    <mergeCell ref="G97:G98"/>
    <mergeCell ref="H97:H98"/>
    <mergeCell ref="I97:I98"/>
    <mergeCell ref="A95:A96"/>
    <mergeCell ref="B95:B96"/>
    <mergeCell ref="C95:C96"/>
    <mergeCell ref="E95:E96"/>
    <mergeCell ref="F95:F96"/>
    <mergeCell ref="G95:G96"/>
    <mergeCell ref="H95:H96"/>
    <mergeCell ref="I95:I96"/>
    <mergeCell ref="J97:J98"/>
    <mergeCell ref="A99:A100"/>
    <mergeCell ref="B99:B100"/>
    <mergeCell ref="C99:C100"/>
    <mergeCell ref="E99:E100"/>
    <mergeCell ref="F99:F100"/>
    <mergeCell ref="G99:G100"/>
    <mergeCell ref="H99:H100"/>
    <mergeCell ref="I99:I100"/>
    <mergeCell ref="J99:J100"/>
    <mergeCell ref="R97:R98"/>
    <mergeCell ref="K97:K98"/>
    <mergeCell ref="L97:L98"/>
    <mergeCell ref="M97:M98"/>
    <mergeCell ref="N97:N98"/>
    <mergeCell ref="O97:O98"/>
    <mergeCell ref="Q97:Q98"/>
    <mergeCell ref="R99:R100"/>
    <mergeCell ref="K99:K100"/>
    <mergeCell ref="L99:L100"/>
    <mergeCell ref="M99:M100"/>
    <mergeCell ref="N99:N100"/>
    <mergeCell ref="O99:O100"/>
    <mergeCell ref="Q99:Q100"/>
    <mergeCell ref="J103:J104"/>
    <mergeCell ref="B101:B102"/>
    <mergeCell ref="C101:C102"/>
    <mergeCell ref="E101:E102"/>
    <mergeCell ref="F101:F102"/>
    <mergeCell ref="G101:G102"/>
    <mergeCell ref="H101:H102"/>
    <mergeCell ref="I101:I102"/>
    <mergeCell ref="J101:J102"/>
    <mergeCell ref="L101:L102"/>
    <mergeCell ref="M101:M102"/>
    <mergeCell ref="N101:N102"/>
    <mergeCell ref="O101:O102"/>
    <mergeCell ref="Q101:Q102"/>
    <mergeCell ref="R103:R104"/>
    <mergeCell ref="K103:K104"/>
    <mergeCell ref="L103:L104"/>
    <mergeCell ref="M103:M104"/>
    <mergeCell ref="N103:N104"/>
    <mergeCell ref="O103:O104"/>
    <mergeCell ref="Q103:Q104"/>
    <mergeCell ref="R101:R102"/>
    <mergeCell ref="K101:K102"/>
    <mergeCell ref="A101:A102"/>
    <mergeCell ref="A105:A106"/>
    <mergeCell ref="B105:B106"/>
    <mergeCell ref="C105:C106"/>
    <mergeCell ref="E105:E106"/>
    <mergeCell ref="F105:F106"/>
    <mergeCell ref="G105:G106"/>
    <mergeCell ref="H105:H106"/>
    <mergeCell ref="I105:I106"/>
    <mergeCell ref="A103:A104"/>
    <mergeCell ref="B103:B104"/>
    <mergeCell ref="C103:C104"/>
    <mergeCell ref="E103:E104"/>
    <mergeCell ref="F103:F104"/>
    <mergeCell ref="G103:G104"/>
    <mergeCell ref="H103:H104"/>
    <mergeCell ref="I103:I104"/>
    <mergeCell ref="R105:R106"/>
    <mergeCell ref="A107:A108"/>
    <mergeCell ref="B107:B108"/>
    <mergeCell ref="C107:C108"/>
    <mergeCell ref="E107:E108"/>
    <mergeCell ref="F107:F108"/>
    <mergeCell ref="G107:G108"/>
    <mergeCell ref="H107:H108"/>
    <mergeCell ref="I107:I108"/>
    <mergeCell ref="J107:J108"/>
    <mergeCell ref="K105:K106"/>
    <mergeCell ref="L105:L106"/>
    <mergeCell ref="M105:M106"/>
    <mergeCell ref="N105:N106"/>
    <mergeCell ref="O105:O106"/>
    <mergeCell ref="Q105:Q106"/>
    <mergeCell ref="R107:R108"/>
    <mergeCell ref="K107:K108"/>
    <mergeCell ref="L107:L108"/>
    <mergeCell ref="M107:M108"/>
    <mergeCell ref="N107:N108"/>
    <mergeCell ref="O107:O108"/>
    <mergeCell ref="Q107:Q108"/>
    <mergeCell ref="R109:R110"/>
    <mergeCell ref="A111:A112"/>
    <mergeCell ref="B111:B112"/>
    <mergeCell ref="C111:C112"/>
    <mergeCell ref="E111:E112"/>
    <mergeCell ref="F111:F112"/>
    <mergeCell ref="G111:G112"/>
    <mergeCell ref="H111:H112"/>
    <mergeCell ref="I111:I112"/>
    <mergeCell ref="J111:J112"/>
    <mergeCell ref="K109:K110"/>
    <mergeCell ref="L109:L110"/>
    <mergeCell ref="M109:M110"/>
    <mergeCell ref="N109:N110"/>
    <mergeCell ref="O109:O110"/>
    <mergeCell ref="Q109:Q110"/>
    <mergeCell ref="R111:R112"/>
    <mergeCell ref="K111:K112"/>
    <mergeCell ref="L111:L112"/>
    <mergeCell ref="M111:M112"/>
    <mergeCell ref="N111:N112"/>
    <mergeCell ref="O111:O112"/>
    <mergeCell ref="Q111:Q112"/>
    <mergeCell ref="R113:R114"/>
    <mergeCell ref="A115:A116"/>
    <mergeCell ref="B115:B116"/>
    <mergeCell ref="C115:C116"/>
    <mergeCell ref="E115:E116"/>
    <mergeCell ref="F115:F116"/>
    <mergeCell ref="G115:G116"/>
    <mergeCell ref="H115:H116"/>
    <mergeCell ref="I115:I116"/>
    <mergeCell ref="J115:J116"/>
    <mergeCell ref="K113:K114"/>
    <mergeCell ref="L113:L114"/>
    <mergeCell ref="M113:M114"/>
    <mergeCell ref="N113:N114"/>
    <mergeCell ref="O113:O114"/>
    <mergeCell ref="Q113:Q114"/>
    <mergeCell ref="R115:R116"/>
    <mergeCell ref="K115:K116"/>
    <mergeCell ref="L115:L116"/>
    <mergeCell ref="M115:M116"/>
    <mergeCell ref="N115:N116"/>
    <mergeCell ref="O115:O116"/>
    <mergeCell ref="Q115:Q116"/>
    <mergeCell ref="R117:R118"/>
    <mergeCell ref="B119:B120"/>
    <mergeCell ref="C119:C120"/>
    <mergeCell ref="E119:E120"/>
    <mergeCell ref="F119:F120"/>
    <mergeCell ref="G119:G120"/>
    <mergeCell ref="H119:H120"/>
    <mergeCell ref="I119:I120"/>
    <mergeCell ref="J119:J120"/>
    <mergeCell ref="K117:K118"/>
    <mergeCell ref="L117:L118"/>
    <mergeCell ref="M117:M118"/>
    <mergeCell ref="N117:N118"/>
    <mergeCell ref="O117:O118"/>
    <mergeCell ref="Q117:Q118"/>
    <mergeCell ref="R119:R120"/>
    <mergeCell ref="B117:B118"/>
    <mergeCell ref="C117:C118"/>
    <mergeCell ref="E117:E118"/>
    <mergeCell ref="F117:F118"/>
    <mergeCell ref="G117:G118"/>
    <mergeCell ref="H117:H118"/>
    <mergeCell ref="I117:I118"/>
    <mergeCell ref="M122:Q122"/>
    <mergeCell ref="M123:Q123"/>
    <mergeCell ref="B124:C124"/>
    <mergeCell ref="M124:Q124"/>
    <mergeCell ref="B125:C125"/>
    <mergeCell ref="K119:K120"/>
    <mergeCell ref="L119:L120"/>
    <mergeCell ref="M119:M120"/>
    <mergeCell ref="N119:N120"/>
    <mergeCell ref="O119:O120"/>
    <mergeCell ref="Q119:Q120"/>
    <mergeCell ref="A133:D133"/>
    <mergeCell ref="M133:Q133"/>
    <mergeCell ref="A134:D134"/>
    <mergeCell ref="M134:P134"/>
    <mergeCell ref="A135:C135"/>
    <mergeCell ref="M135:P135"/>
    <mergeCell ref="B130:C130"/>
    <mergeCell ref="M130:Q130"/>
    <mergeCell ref="B131:C131"/>
    <mergeCell ref="M131:Q131"/>
    <mergeCell ref="A132:D132"/>
    <mergeCell ref="M132:Q132"/>
    <mergeCell ref="J83:J84"/>
    <mergeCell ref="K83:K84"/>
    <mergeCell ref="A119:A120"/>
    <mergeCell ref="A117:A118"/>
    <mergeCell ref="B113:B114"/>
    <mergeCell ref="C113:C114"/>
    <mergeCell ref="E113:E114"/>
    <mergeCell ref="F113:F114"/>
    <mergeCell ref="G113:G114"/>
    <mergeCell ref="H113:H114"/>
    <mergeCell ref="I113:I114"/>
    <mergeCell ref="J113:J114"/>
    <mergeCell ref="B109:B110"/>
    <mergeCell ref="C109:C110"/>
    <mergeCell ref="E109:E110"/>
    <mergeCell ref="F109:F110"/>
    <mergeCell ref="G109:G110"/>
    <mergeCell ref="H109:H110"/>
    <mergeCell ref="I109:I110"/>
    <mergeCell ref="J117:J118"/>
    <mergeCell ref="A113:A114"/>
    <mergeCell ref="A109:A110"/>
    <mergeCell ref="J105:J106"/>
    <mergeCell ref="J109:J110"/>
    <mergeCell ref="L83:L84"/>
    <mergeCell ref="M83:M84"/>
    <mergeCell ref="N83:N84"/>
    <mergeCell ref="O83:O84"/>
    <mergeCell ref="Q83:Q84"/>
    <mergeCell ref="R83:R84"/>
    <mergeCell ref="A85:A86"/>
    <mergeCell ref="B85:B86"/>
    <mergeCell ref="C85:C86"/>
    <mergeCell ref="E85:E86"/>
    <mergeCell ref="F85:F86"/>
    <mergeCell ref="G85:G86"/>
    <mergeCell ref="H85:H86"/>
    <mergeCell ref="I85:I86"/>
    <mergeCell ref="J85:J86"/>
    <mergeCell ref="K85:K86"/>
    <mergeCell ref="L85:L86"/>
    <mergeCell ref="M85:M86"/>
    <mergeCell ref="N85:N86"/>
    <mergeCell ref="O85:O86"/>
    <mergeCell ref="Q85:Q86"/>
    <mergeCell ref="R85:R86"/>
    <mergeCell ref="B83:B84"/>
    <mergeCell ref="C83:C84"/>
    <mergeCell ref="N57:N58"/>
    <mergeCell ref="O57:O58"/>
    <mergeCell ref="Q57:Q58"/>
    <mergeCell ref="R57:R58"/>
    <mergeCell ref="A57:A58"/>
    <mergeCell ref="B57:B58"/>
    <mergeCell ref="C57:C58"/>
    <mergeCell ref="E57:E58"/>
    <mergeCell ref="F57:F58"/>
    <mergeCell ref="G57:G58"/>
    <mergeCell ref="H57:H58"/>
    <mergeCell ref="I57:I58"/>
    <mergeCell ref="J57:J58"/>
  </mergeCells>
  <phoneticPr fontId="16" type="noConversion"/>
  <printOptions horizontalCentered="1"/>
  <pageMargins left="0.39370078740157483" right="3.937007874015748E-2" top="0.98425196850393704" bottom="0.39370078740157483" header="0.27559055118110237" footer="0.31496062992125984"/>
  <pageSetup paperSize="150" scale="80" fitToHeight="0" orientation="landscape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9C1EB-FAB3-48FC-9B00-200AF3F1DEEA}">
  <dimension ref="A1:M76"/>
  <sheetViews>
    <sheetView tabSelected="1" topLeftCell="A5" zoomScale="102" zoomScaleNormal="102" zoomScaleSheetLayoutView="100" workbookViewId="0">
      <selection activeCell="E17" sqref="E17"/>
    </sheetView>
  </sheetViews>
  <sheetFormatPr defaultColWidth="9.140625" defaultRowHeight="12" x14ac:dyDescent="0.2"/>
  <cols>
    <col min="1" max="1" width="4.42578125" style="49" customWidth="1"/>
    <col min="2" max="2" width="27.7109375" style="49" customWidth="1"/>
    <col min="3" max="3" width="20.42578125" style="49" customWidth="1"/>
    <col min="4" max="4" width="12.7109375" style="76" customWidth="1"/>
    <col min="5" max="6" width="17" style="77" customWidth="1"/>
    <col min="7" max="7" width="27.7109375" style="49" customWidth="1"/>
    <col min="8" max="8" width="19.140625" style="49" customWidth="1"/>
    <col min="9" max="9" width="17.85546875" style="49" customWidth="1"/>
    <col min="10" max="10" width="25.28515625" style="78" customWidth="1"/>
    <col min="11" max="11" width="9.5703125" style="78" customWidth="1"/>
    <col min="12" max="12" width="36.140625" style="83" customWidth="1"/>
    <col min="13" max="13" width="30.140625" style="83" customWidth="1"/>
    <col min="14" max="16384" width="9.140625" style="49"/>
  </cols>
  <sheetData>
    <row r="1" spans="1:13" ht="15.75" x14ac:dyDescent="0.25">
      <c r="A1" s="259" t="s">
        <v>510</v>
      </c>
      <c r="B1" s="259"/>
      <c r="C1" s="259"/>
      <c r="D1" s="259"/>
      <c r="E1" s="259"/>
      <c r="F1" s="259"/>
      <c r="G1" s="259"/>
      <c r="H1" s="259"/>
      <c r="I1" s="259"/>
      <c r="J1" s="259"/>
      <c r="K1" s="259"/>
      <c r="L1" s="259"/>
      <c r="M1" s="259"/>
    </row>
    <row r="2" spans="1:13" ht="15.75" x14ac:dyDescent="0.25">
      <c r="A2" s="259" t="s">
        <v>250</v>
      </c>
      <c r="B2" s="259"/>
      <c r="C2" s="259"/>
      <c r="D2" s="259"/>
      <c r="E2" s="259"/>
      <c r="F2" s="259"/>
      <c r="G2" s="259"/>
      <c r="H2" s="259"/>
      <c r="I2" s="259"/>
      <c r="J2" s="259"/>
      <c r="K2" s="259"/>
      <c r="L2" s="259"/>
      <c r="M2" s="259"/>
    </row>
    <row r="3" spans="1:13" ht="15.75" x14ac:dyDescent="0.2">
      <c r="A3" s="260"/>
      <c r="B3" s="260"/>
      <c r="C3" s="260"/>
      <c r="D3" s="260"/>
      <c r="E3" s="260"/>
      <c r="F3" s="260"/>
      <c r="G3" s="260"/>
      <c r="H3" s="260"/>
      <c r="I3" s="260"/>
      <c r="J3" s="260"/>
      <c r="K3" s="260"/>
      <c r="L3" s="260"/>
      <c r="M3" s="260"/>
    </row>
    <row r="4" spans="1:13" x14ac:dyDescent="0.2">
      <c r="A4" s="50"/>
      <c r="B4" s="50"/>
      <c r="C4" s="50"/>
      <c r="D4" s="51"/>
      <c r="E4" s="52"/>
      <c r="F4" s="52"/>
      <c r="G4" s="50"/>
      <c r="H4" s="50"/>
      <c r="I4" s="50"/>
      <c r="J4" s="51"/>
      <c r="K4" s="51"/>
      <c r="L4" s="50"/>
      <c r="M4" s="50"/>
    </row>
    <row r="5" spans="1:13" ht="20.25" customHeight="1" x14ac:dyDescent="0.2">
      <c r="A5" s="261" t="s">
        <v>251</v>
      </c>
      <c r="B5" s="261" t="s">
        <v>252</v>
      </c>
      <c r="C5" s="261" t="s">
        <v>253</v>
      </c>
      <c r="D5" s="263" t="s">
        <v>254</v>
      </c>
      <c r="E5" s="264"/>
      <c r="F5" s="267" t="s">
        <v>255</v>
      </c>
      <c r="G5" s="269" t="s">
        <v>256</v>
      </c>
      <c r="H5" s="271" t="s">
        <v>257</v>
      </c>
      <c r="I5" s="272"/>
      <c r="J5" s="273"/>
      <c r="K5" s="274" t="s">
        <v>258</v>
      </c>
      <c r="L5" s="269" t="s">
        <v>259</v>
      </c>
      <c r="M5" s="269" t="s">
        <v>260</v>
      </c>
    </row>
    <row r="6" spans="1:13" s="55" customFormat="1" ht="36.75" customHeight="1" x14ac:dyDescent="0.2">
      <c r="A6" s="262"/>
      <c r="B6" s="262"/>
      <c r="C6" s="262"/>
      <c r="D6" s="265"/>
      <c r="E6" s="266"/>
      <c r="F6" s="268"/>
      <c r="G6" s="270"/>
      <c r="H6" s="53" t="s">
        <v>261</v>
      </c>
      <c r="I6" s="53" t="s">
        <v>122</v>
      </c>
      <c r="J6" s="54" t="s">
        <v>262</v>
      </c>
      <c r="K6" s="275"/>
      <c r="L6" s="270"/>
      <c r="M6" s="270"/>
    </row>
    <row r="7" spans="1:13" s="55" customFormat="1" x14ac:dyDescent="0.2">
      <c r="A7" s="56">
        <v>1</v>
      </c>
      <c r="B7" s="56">
        <v>2</v>
      </c>
      <c r="C7" s="57">
        <v>3</v>
      </c>
      <c r="D7" s="256" t="s">
        <v>263</v>
      </c>
      <c r="E7" s="257"/>
      <c r="F7" s="58" t="s">
        <v>264</v>
      </c>
      <c r="G7" s="56">
        <v>6</v>
      </c>
      <c r="H7" s="56">
        <v>7</v>
      </c>
      <c r="I7" s="56">
        <v>8</v>
      </c>
      <c r="J7" s="59" t="s">
        <v>265</v>
      </c>
      <c r="K7" s="56">
        <v>10</v>
      </c>
      <c r="L7" s="59" t="s">
        <v>266</v>
      </c>
      <c r="M7" s="56">
        <v>12</v>
      </c>
    </row>
    <row r="8" spans="1:13" s="55" customFormat="1" ht="24.95" customHeight="1" x14ac:dyDescent="0.2">
      <c r="A8" s="60">
        <v>1</v>
      </c>
      <c r="B8" s="61" t="s">
        <v>267</v>
      </c>
      <c r="C8" s="62" t="s">
        <v>268</v>
      </c>
      <c r="D8" s="63" t="s">
        <v>269</v>
      </c>
      <c r="E8" s="64">
        <v>35200</v>
      </c>
      <c r="F8" s="64" t="s">
        <v>270</v>
      </c>
      <c r="G8" s="65" t="s">
        <v>271</v>
      </c>
      <c r="H8" s="66">
        <v>45117</v>
      </c>
      <c r="I8" s="66">
        <v>45139</v>
      </c>
      <c r="J8" s="67" t="s">
        <v>272</v>
      </c>
      <c r="K8" s="67" t="s">
        <v>273</v>
      </c>
      <c r="L8" s="68" t="s">
        <v>274</v>
      </c>
      <c r="M8" s="68" t="s">
        <v>233</v>
      </c>
    </row>
    <row r="9" spans="1:13" s="55" customFormat="1" ht="24.95" customHeight="1" x14ac:dyDescent="0.2">
      <c r="A9" s="60">
        <v>2</v>
      </c>
      <c r="B9" s="61" t="s">
        <v>275</v>
      </c>
      <c r="C9" s="62" t="s">
        <v>276</v>
      </c>
      <c r="D9" s="63" t="s">
        <v>277</v>
      </c>
      <c r="E9" s="64">
        <v>30893</v>
      </c>
      <c r="F9" s="64" t="s">
        <v>270</v>
      </c>
      <c r="G9" s="69" t="s">
        <v>278</v>
      </c>
      <c r="H9" s="66">
        <v>45117</v>
      </c>
      <c r="I9" s="66">
        <v>45139</v>
      </c>
      <c r="J9" s="67" t="s">
        <v>272</v>
      </c>
      <c r="K9" s="67" t="s">
        <v>279</v>
      </c>
      <c r="L9" s="68" t="s">
        <v>280</v>
      </c>
      <c r="M9" s="68" t="s">
        <v>232</v>
      </c>
    </row>
    <row r="10" spans="1:13" s="55" customFormat="1" ht="24.95" customHeight="1" x14ac:dyDescent="0.2">
      <c r="A10" s="60">
        <v>3</v>
      </c>
      <c r="B10" s="70" t="s">
        <v>281</v>
      </c>
      <c r="C10" s="62" t="s">
        <v>282</v>
      </c>
      <c r="D10" s="63" t="s">
        <v>277</v>
      </c>
      <c r="E10" s="64">
        <v>29055</v>
      </c>
      <c r="F10" s="64" t="s">
        <v>270</v>
      </c>
      <c r="G10" s="69" t="s">
        <v>283</v>
      </c>
      <c r="H10" s="66">
        <v>45117</v>
      </c>
      <c r="I10" s="66">
        <v>45139</v>
      </c>
      <c r="J10" s="67" t="s">
        <v>272</v>
      </c>
      <c r="K10" s="67" t="s">
        <v>279</v>
      </c>
      <c r="L10" s="68" t="s">
        <v>280</v>
      </c>
      <c r="M10" s="68" t="s">
        <v>232</v>
      </c>
    </row>
    <row r="11" spans="1:13" s="55" customFormat="1" ht="24.95" customHeight="1" x14ac:dyDescent="0.2">
      <c r="A11" s="60">
        <v>4</v>
      </c>
      <c r="B11" s="70" t="s">
        <v>284</v>
      </c>
      <c r="C11" s="62" t="s">
        <v>285</v>
      </c>
      <c r="D11" s="63" t="s">
        <v>269</v>
      </c>
      <c r="E11" s="64">
        <v>30816</v>
      </c>
      <c r="F11" s="64" t="s">
        <v>270</v>
      </c>
      <c r="G11" s="69" t="s">
        <v>283</v>
      </c>
      <c r="H11" s="66">
        <v>45117</v>
      </c>
      <c r="I11" s="66">
        <v>45139</v>
      </c>
      <c r="J11" s="67" t="s">
        <v>272</v>
      </c>
      <c r="K11" s="67" t="s">
        <v>279</v>
      </c>
      <c r="L11" s="68" t="s">
        <v>280</v>
      </c>
      <c r="M11" s="68" t="s">
        <v>232</v>
      </c>
    </row>
    <row r="12" spans="1:13" s="55" customFormat="1" ht="24.95" customHeight="1" x14ac:dyDescent="0.2">
      <c r="A12" s="60">
        <v>5</v>
      </c>
      <c r="B12" s="71" t="s">
        <v>286</v>
      </c>
      <c r="C12" s="72" t="s">
        <v>287</v>
      </c>
      <c r="D12" s="73" t="s">
        <v>277</v>
      </c>
      <c r="E12" s="74">
        <v>30870</v>
      </c>
      <c r="F12" s="74" t="s">
        <v>288</v>
      </c>
      <c r="G12" s="69" t="s">
        <v>278</v>
      </c>
      <c r="H12" s="66">
        <v>45117</v>
      </c>
      <c r="I12" s="66">
        <v>45139</v>
      </c>
      <c r="J12" s="67" t="s">
        <v>272</v>
      </c>
      <c r="K12" s="67" t="s">
        <v>279</v>
      </c>
      <c r="L12" s="68" t="s">
        <v>280</v>
      </c>
      <c r="M12" s="68" t="s">
        <v>232</v>
      </c>
    </row>
    <row r="13" spans="1:13" s="55" customFormat="1" ht="24.95" customHeight="1" x14ac:dyDescent="0.2">
      <c r="A13" s="60">
        <v>6</v>
      </c>
      <c r="B13" s="61" t="s">
        <v>289</v>
      </c>
      <c r="C13" s="62" t="s">
        <v>290</v>
      </c>
      <c r="D13" s="63" t="s">
        <v>277</v>
      </c>
      <c r="E13" s="74">
        <v>32015</v>
      </c>
      <c r="F13" s="74" t="s">
        <v>270</v>
      </c>
      <c r="G13" s="69" t="s">
        <v>278</v>
      </c>
      <c r="H13" s="66">
        <v>45117</v>
      </c>
      <c r="I13" s="66">
        <v>45139</v>
      </c>
      <c r="J13" s="67" t="s">
        <v>272</v>
      </c>
      <c r="K13" s="67" t="s">
        <v>279</v>
      </c>
      <c r="L13" s="68" t="s">
        <v>291</v>
      </c>
      <c r="M13" s="68" t="s">
        <v>232</v>
      </c>
    </row>
    <row r="14" spans="1:13" s="55" customFormat="1" ht="24.95" customHeight="1" x14ac:dyDescent="0.2">
      <c r="A14" s="60">
        <v>7</v>
      </c>
      <c r="B14" s="70" t="s">
        <v>292</v>
      </c>
      <c r="C14" s="62" t="s">
        <v>293</v>
      </c>
      <c r="D14" s="75" t="s">
        <v>269</v>
      </c>
      <c r="E14" s="64">
        <v>33931</v>
      </c>
      <c r="F14" s="64" t="s">
        <v>270</v>
      </c>
      <c r="G14" s="69" t="s">
        <v>278</v>
      </c>
      <c r="H14" s="66">
        <v>45117</v>
      </c>
      <c r="I14" s="66">
        <v>45139</v>
      </c>
      <c r="J14" s="67" t="s">
        <v>272</v>
      </c>
      <c r="K14" s="67" t="s">
        <v>279</v>
      </c>
      <c r="L14" s="68" t="s">
        <v>291</v>
      </c>
      <c r="M14" s="68" t="s">
        <v>232</v>
      </c>
    </row>
    <row r="15" spans="1:13" s="55" customFormat="1" ht="24.95" customHeight="1" x14ac:dyDescent="0.2">
      <c r="A15" s="60">
        <v>8</v>
      </c>
      <c r="B15" s="71" t="s">
        <v>294</v>
      </c>
      <c r="C15" s="72" t="s">
        <v>295</v>
      </c>
      <c r="D15" s="73" t="s">
        <v>277</v>
      </c>
      <c r="E15" s="74">
        <v>32961</v>
      </c>
      <c r="F15" s="74" t="s">
        <v>288</v>
      </c>
      <c r="G15" s="69" t="s">
        <v>283</v>
      </c>
      <c r="H15" s="66">
        <v>45117</v>
      </c>
      <c r="I15" s="66">
        <v>45139</v>
      </c>
      <c r="J15" s="67" t="s">
        <v>272</v>
      </c>
      <c r="K15" s="67" t="s">
        <v>279</v>
      </c>
      <c r="L15" s="68" t="s">
        <v>291</v>
      </c>
      <c r="M15" s="68" t="s">
        <v>232</v>
      </c>
    </row>
    <row r="16" spans="1:13" s="55" customFormat="1" ht="24.95" customHeight="1" x14ac:dyDescent="0.2">
      <c r="A16" s="60">
        <v>9</v>
      </c>
      <c r="B16" s="61" t="s">
        <v>296</v>
      </c>
      <c r="C16" s="62" t="s">
        <v>297</v>
      </c>
      <c r="D16" s="63" t="s">
        <v>277</v>
      </c>
      <c r="E16" s="64">
        <v>26279</v>
      </c>
      <c r="F16" s="64" t="s">
        <v>288</v>
      </c>
      <c r="G16" s="69" t="s">
        <v>298</v>
      </c>
      <c r="H16" s="66">
        <v>45222</v>
      </c>
      <c r="I16" s="66">
        <v>45231</v>
      </c>
      <c r="J16" s="67" t="s">
        <v>299</v>
      </c>
      <c r="K16" s="67" t="s">
        <v>273</v>
      </c>
      <c r="L16" s="68" t="s">
        <v>300</v>
      </c>
      <c r="M16" s="68" t="s">
        <v>301</v>
      </c>
    </row>
    <row r="17" spans="1:13" s="55" customFormat="1" ht="24.95" customHeight="1" x14ac:dyDescent="0.2">
      <c r="A17" s="60">
        <v>10</v>
      </c>
      <c r="B17" s="70" t="s">
        <v>302</v>
      </c>
      <c r="C17" s="62" t="s">
        <v>303</v>
      </c>
      <c r="D17" s="63" t="s">
        <v>277</v>
      </c>
      <c r="E17" s="74">
        <v>31613</v>
      </c>
      <c r="F17" s="74" t="s">
        <v>288</v>
      </c>
      <c r="G17" s="69" t="s">
        <v>304</v>
      </c>
      <c r="H17" s="66">
        <v>45222</v>
      </c>
      <c r="I17" s="66">
        <v>45231</v>
      </c>
      <c r="J17" s="67" t="s">
        <v>299</v>
      </c>
      <c r="K17" s="67" t="s">
        <v>273</v>
      </c>
      <c r="L17" s="68" t="s">
        <v>305</v>
      </c>
      <c r="M17" s="68" t="s">
        <v>306</v>
      </c>
    </row>
    <row r="18" spans="1:13" s="55" customFormat="1" ht="24.95" customHeight="1" x14ac:dyDescent="0.2">
      <c r="A18" s="60">
        <v>11</v>
      </c>
      <c r="B18" s="61" t="s">
        <v>307</v>
      </c>
      <c r="C18" s="62" t="s">
        <v>308</v>
      </c>
      <c r="D18" s="63" t="s">
        <v>269</v>
      </c>
      <c r="E18" s="64">
        <v>28931</v>
      </c>
      <c r="F18" s="64" t="s">
        <v>288</v>
      </c>
      <c r="G18" s="69" t="s">
        <v>271</v>
      </c>
      <c r="H18" s="66">
        <v>45222</v>
      </c>
      <c r="I18" s="66">
        <v>45231</v>
      </c>
      <c r="J18" s="67" t="s">
        <v>299</v>
      </c>
      <c r="K18" s="67" t="s">
        <v>273</v>
      </c>
      <c r="L18" s="68" t="s">
        <v>274</v>
      </c>
      <c r="M18" s="68" t="s">
        <v>309</v>
      </c>
    </row>
    <row r="19" spans="1:13" s="55" customFormat="1" ht="24.95" customHeight="1" x14ac:dyDescent="0.2">
      <c r="A19" s="60">
        <v>12</v>
      </c>
      <c r="B19" s="61" t="s">
        <v>310</v>
      </c>
      <c r="C19" s="62" t="s">
        <v>311</v>
      </c>
      <c r="D19" s="63" t="s">
        <v>277</v>
      </c>
      <c r="E19" s="64">
        <v>26585</v>
      </c>
      <c r="F19" s="64" t="s">
        <v>270</v>
      </c>
      <c r="G19" s="69" t="s">
        <v>312</v>
      </c>
      <c r="H19" s="66">
        <v>45762</v>
      </c>
      <c r="I19" s="66">
        <v>45717</v>
      </c>
      <c r="J19" s="67" t="s">
        <v>313</v>
      </c>
      <c r="K19" s="67" t="s">
        <v>273</v>
      </c>
      <c r="L19" s="68" t="s">
        <v>314</v>
      </c>
      <c r="M19" s="68" t="s">
        <v>315</v>
      </c>
    </row>
    <row r="20" spans="1:13" s="55" customFormat="1" ht="24.95" customHeight="1" x14ac:dyDescent="0.2">
      <c r="A20" s="60">
        <v>13</v>
      </c>
      <c r="B20" s="61" t="s">
        <v>316</v>
      </c>
      <c r="C20" s="62" t="s">
        <v>317</v>
      </c>
      <c r="D20" s="63" t="s">
        <v>277</v>
      </c>
      <c r="E20" s="64">
        <v>27049</v>
      </c>
      <c r="F20" s="64" t="s">
        <v>270</v>
      </c>
      <c r="G20" s="69" t="s">
        <v>312</v>
      </c>
      <c r="H20" s="66">
        <v>45762</v>
      </c>
      <c r="I20" s="66">
        <v>45717</v>
      </c>
      <c r="J20" s="67" t="s">
        <v>313</v>
      </c>
      <c r="K20" s="67" t="s">
        <v>273</v>
      </c>
      <c r="L20" s="68" t="s">
        <v>314</v>
      </c>
      <c r="M20" s="68" t="s">
        <v>315</v>
      </c>
    </row>
    <row r="21" spans="1:13" s="55" customFormat="1" ht="24.95" customHeight="1" x14ac:dyDescent="0.2">
      <c r="A21" s="60">
        <v>14</v>
      </c>
      <c r="B21" s="61" t="s">
        <v>318</v>
      </c>
      <c r="C21" s="62" t="s">
        <v>319</v>
      </c>
      <c r="D21" s="63" t="s">
        <v>277</v>
      </c>
      <c r="E21" s="64">
        <v>30456</v>
      </c>
      <c r="F21" s="64" t="s">
        <v>270</v>
      </c>
      <c r="G21" s="69" t="s">
        <v>320</v>
      </c>
      <c r="H21" s="66">
        <v>45762</v>
      </c>
      <c r="I21" s="66">
        <v>45717</v>
      </c>
      <c r="J21" s="67" t="s">
        <v>313</v>
      </c>
      <c r="K21" s="67" t="s">
        <v>279</v>
      </c>
      <c r="L21" s="68" t="s">
        <v>314</v>
      </c>
      <c r="M21" s="68" t="s">
        <v>321</v>
      </c>
    </row>
    <row r="22" spans="1:13" s="55" customFormat="1" ht="24.95" customHeight="1" x14ac:dyDescent="0.2">
      <c r="A22" s="60">
        <v>15</v>
      </c>
      <c r="B22" s="61" t="s">
        <v>322</v>
      </c>
      <c r="C22" s="62" t="s">
        <v>323</v>
      </c>
      <c r="D22" s="63" t="s">
        <v>277</v>
      </c>
      <c r="E22" s="64">
        <v>30547</v>
      </c>
      <c r="F22" s="64" t="s">
        <v>270</v>
      </c>
      <c r="G22" s="69" t="s">
        <v>324</v>
      </c>
      <c r="H22" s="66">
        <v>45762</v>
      </c>
      <c r="I22" s="66">
        <v>45717</v>
      </c>
      <c r="J22" s="67" t="s">
        <v>313</v>
      </c>
      <c r="K22" s="67" t="s">
        <v>279</v>
      </c>
      <c r="L22" s="68" t="s">
        <v>314</v>
      </c>
      <c r="M22" s="68" t="s">
        <v>321</v>
      </c>
    </row>
    <row r="23" spans="1:13" s="55" customFormat="1" ht="24.95" customHeight="1" x14ac:dyDescent="0.2">
      <c r="A23" s="60">
        <v>16</v>
      </c>
      <c r="B23" s="61" t="s">
        <v>325</v>
      </c>
      <c r="C23" s="62" t="s">
        <v>326</v>
      </c>
      <c r="D23" s="63" t="s">
        <v>277</v>
      </c>
      <c r="E23" s="64">
        <v>31781</v>
      </c>
      <c r="F23" s="64" t="s">
        <v>270</v>
      </c>
      <c r="G23" s="69" t="s">
        <v>312</v>
      </c>
      <c r="H23" s="66">
        <v>45762</v>
      </c>
      <c r="I23" s="66">
        <v>45717</v>
      </c>
      <c r="J23" s="67" t="s">
        <v>313</v>
      </c>
      <c r="K23" s="67" t="s">
        <v>273</v>
      </c>
      <c r="L23" s="68" t="s">
        <v>327</v>
      </c>
      <c r="M23" s="68" t="s">
        <v>315</v>
      </c>
    </row>
    <row r="24" spans="1:13" s="55" customFormat="1" ht="24.95" customHeight="1" x14ac:dyDescent="0.2">
      <c r="A24" s="60">
        <v>17</v>
      </c>
      <c r="B24" s="61" t="s">
        <v>500</v>
      </c>
      <c r="C24" s="62" t="s">
        <v>501</v>
      </c>
      <c r="D24" s="63" t="s">
        <v>277</v>
      </c>
      <c r="E24" s="64">
        <v>30042</v>
      </c>
      <c r="F24" s="64" t="s">
        <v>270</v>
      </c>
      <c r="G24" s="69" t="s">
        <v>312</v>
      </c>
      <c r="H24" s="66">
        <v>45915</v>
      </c>
      <c r="I24" s="66">
        <v>45901</v>
      </c>
      <c r="J24" s="67" t="s">
        <v>502</v>
      </c>
      <c r="K24" s="67" t="s">
        <v>273</v>
      </c>
      <c r="L24" s="68" t="s">
        <v>327</v>
      </c>
      <c r="M24" s="68" t="s">
        <v>315</v>
      </c>
    </row>
    <row r="25" spans="1:13" s="55" customFormat="1" ht="24.95" customHeight="1" x14ac:dyDescent="0.2">
      <c r="A25" s="60">
        <v>18</v>
      </c>
      <c r="B25" s="61" t="s">
        <v>328</v>
      </c>
      <c r="C25" s="62" t="s">
        <v>329</v>
      </c>
      <c r="D25" s="63" t="s">
        <v>277</v>
      </c>
      <c r="E25" s="64">
        <v>28747</v>
      </c>
      <c r="F25" s="64" t="s">
        <v>270</v>
      </c>
      <c r="G25" s="69" t="s">
        <v>312</v>
      </c>
      <c r="H25" s="66">
        <v>45762</v>
      </c>
      <c r="I25" s="66">
        <v>45717</v>
      </c>
      <c r="J25" s="67" t="s">
        <v>313</v>
      </c>
      <c r="K25" s="67" t="s">
        <v>273</v>
      </c>
      <c r="L25" s="68" t="s">
        <v>291</v>
      </c>
      <c r="M25" s="68" t="s">
        <v>315</v>
      </c>
    </row>
    <row r="26" spans="1:13" s="55" customFormat="1" ht="24.95" customHeight="1" x14ac:dyDescent="0.2">
      <c r="A26" s="60">
        <v>19</v>
      </c>
      <c r="B26" s="61" t="s">
        <v>330</v>
      </c>
      <c r="C26" s="62" t="s">
        <v>331</v>
      </c>
      <c r="D26" s="63" t="s">
        <v>277</v>
      </c>
      <c r="E26" s="64">
        <v>30547</v>
      </c>
      <c r="F26" s="64" t="s">
        <v>270</v>
      </c>
      <c r="G26" s="69" t="s">
        <v>312</v>
      </c>
      <c r="H26" s="66">
        <v>45762</v>
      </c>
      <c r="I26" s="66">
        <v>45717</v>
      </c>
      <c r="J26" s="67" t="s">
        <v>313</v>
      </c>
      <c r="K26" s="67" t="s">
        <v>273</v>
      </c>
      <c r="L26" s="68" t="s">
        <v>291</v>
      </c>
      <c r="M26" s="68" t="s">
        <v>315</v>
      </c>
    </row>
    <row r="27" spans="1:13" s="55" customFormat="1" ht="24.95" customHeight="1" x14ac:dyDescent="0.2">
      <c r="A27" s="60">
        <v>20</v>
      </c>
      <c r="B27" s="61" t="s">
        <v>332</v>
      </c>
      <c r="C27" s="62" t="s">
        <v>333</v>
      </c>
      <c r="D27" s="63" t="s">
        <v>277</v>
      </c>
      <c r="E27" s="64">
        <v>29991</v>
      </c>
      <c r="F27" s="64" t="s">
        <v>288</v>
      </c>
      <c r="G27" s="69" t="s">
        <v>61</v>
      </c>
      <c r="H27" s="66">
        <v>45762</v>
      </c>
      <c r="I27" s="66">
        <v>45717</v>
      </c>
      <c r="J27" s="67" t="s">
        <v>313</v>
      </c>
      <c r="K27" s="67" t="s">
        <v>334</v>
      </c>
      <c r="L27" s="68" t="s">
        <v>291</v>
      </c>
      <c r="M27" s="68" t="s">
        <v>335</v>
      </c>
    </row>
    <row r="28" spans="1:13" s="55" customFormat="1" ht="24.95" customHeight="1" x14ac:dyDescent="0.2">
      <c r="A28" s="60">
        <v>21</v>
      </c>
      <c r="B28" s="61" t="s">
        <v>336</v>
      </c>
      <c r="C28" s="62" t="s">
        <v>337</v>
      </c>
      <c r="D28" s="63" t="s">
        <v>277</v>
      </c>
      <c r="E28" s="64">
        <v>30120</v>
      </c>
      <c r="F28" s="64" t="s">
        <v>270</v>
      </c>
      <c r="G28" s="69" t="s">
        <v>338</v>
      </c>
      <c r="H28" s="66">
        <v>45762</v>
      </c>
      <c r="I28" s="66">
        <v>45717</v>
      </c>
      <c r="J28" s="67" t="s">
        <v>313</v>
      </c>
      <c r="K28" s="67" t="s">
        <v>334</v>
      </c>
      <c r="L28" s="68" t="s">
        <v>291</v>
      </c>
      <c r="M28" s="68" t="s">
        <v>335</v>
      </c>
    </row>
    <row r="29" spans="1:13" s="55" customFormat="1" ht="24.95" customHeight="1" x14ac:dyDescent="0.2">
      <c r="A29" s="60">
        <v>22</v>
      </c>
      <c r="B29" s="61" t="s">
        <v>339</v>
      </c>
      <c r="C29" s="62" t="s">
        <v>340</v>
      </c>
      <c r="D29" s="63" t="s">
        <v>277</v>
      </c>
      <c r="E29" s="64">
        <v>29859</v>
      </c>
      <c r="F29" s="64" t="s">
        <v>270</v>
      </c>
      <c r="G29" s="69" t="s">
        <v>338</v>
      </c>
      <c r="H29" s="66">
        <v>45762</v>
      </c>
      <c r="I29" s="66">
        <v>45717</v>
      </c>
      <c r="J29" s="67" t="s">
        <v>313</v>
      </c>
      <c r="K29" s="67" t="s">
        <v>334</v>
      </c>
      <c r="L29" s="68" t="s">
        <v>291</v>
      </c>
      <c r="M29" s="68" t="s">
        <v>335</v>
      </c>
    </row>
    <row r="30" spans="1:13" s="55" customFormat="1" ht="24.95" customHeight="1" x14ac:dyDescent="0.2">
      <c r="A30" s="60">
        <v>23</v>
      </c>
      <c r="B30" s="61" t="s">
        <v>341</v>
      </c>
      <c r="C30" s="62" t="s">
        <v>342</v>
      </c>
      <c r="D30" s="63" t="s">
        <v>277</v>
      </c>
      <c r="E30" s="64">
        <v>30170</v>
      </c>
      <c r="F30" s="64" t="s">
        <v>288</v>
      </c>
      <c r="G30" s="69" t="s">
        <v>61</v>
      </c>
      <c r="H30" s="66">
        <v>45762</v>
      </c>
      <c r="I30" s="66">
        <v>45717</v>
      </c>
      <c r="J30" s="67" t="s">
        <v>313</v>
      </c>
      <c r="K30" s="67" t="s">
        <v>334</v>
      </c>
      <c r="L30" s="68" t="s">
        <v>291</v>
      </c>
      <c r="M30" s="68" t="s">
        <v>335</v>
      </c>
    </row>
    <row r="31" spans="1:13" s="55" customFormat="1" ht="24.95" customHeight="1" x14ac:dyDescent="0.2">
      <c r="A31" s="60">
        <v>24</v>
      </c>
      <c r="B31" s="61" t="s">
        <v>343</v>
      </c>
      <c r="C31" s="62" t="s">
        <v>344</v>
      </c>
      <c r="D31" s="63" t="s">
        <v>277</v>
      </c>
      <c r="E31" s="64">
        <v>28690</v>
      </c>
      <c r="F31" s="64" t="s">
        <v>270</v>
      </c>
      <c r="G31" s="69" t="s">
        <v>338</v>
      </c>
      <c r="H31" s="66">
        <v>45762</v>
      </c>
      <c r="I31" s="66">
        <v>45717</v>
      </c>
      <c r="J31" s="67" t="s">
        <v>313</v>
      </c>
      <c r="K31" s="67" t="s">
        <v>334</v>
      </c>
      <c r="L31" s="68" t="s">
        <v>291</v>
      </c>
      <c r="M31" s="68" t="s">
        <v>335</v>
      </c>
    </row>
    <row r="32" spans="1:13" s="55" customFormat="1" ht="24.95" customHeight="1" x14ac:dyDescent="0.2">
      <c r="A32" s="60">
        <v>25</v>
      </c>
      <c r="B32" s="61" t="s">
        <v>345</v>
      </c>
      <c r="C32" s="62" t="s">
        <v>346</v>
      </c>
      <c r="D32" s="63" t="s">
        <v>277</v>
      </c>
      <c r="E32" s="64">
        <v>30472</v>
      </c>
      <c r="F32" s="64" t="s">
        <v>270</v>
      </c>
      <c r="G32" s="69" t="s">
        <v>347</v>
      </c>
      <c r="H32" s="66">
        <v>45762</v>
      </c>
      <c r="I32" s="66">
        <v>45717</v>
      </c>
      <c r="J32" s="67" t="s">
        <v>313</v>
      </c>
      <c r="K32" s="67" t="s">
        <v>334</v>
      </c>
      <c r="L32" s="68" t="s">
        <v>291</v>
      </c>
      <c r="M32" s="68" t="s">
        <v>335</v>
      </c>
    </row>
    <row r="33" spans="1:13" s="55" customFormat="1" ht="24.95" customHeight="1" x14ac:dyDescent="0.2">
      <c r="A33" s="60">
        <v>26</v>
      </c>
      <c r="B33" s="61" t="s">
        <v>348</v>
      </c>
      <c r="C33" s="62" t="s">
        <v>349</v>
      </c>
      <c r="D33" s="63" t="s">
        <v>277</v>
      </c>
      <c r="E33" s="64">
        <v>31538</v>
      </c>
      <c r="F33" s="64" t="s">
        <v>270</v>
      </c>
      <c r="G33" s="69" t="s">
        <v>350</v>
      </c>
      <c r="H33" s="66">
        <v>45762</v>
      </c>
      <c r="I33" s="66">
        <v>45717</v>
      </c>
      <c r="J33" s="67" t="s">
        <v>313</v>
      </c>
      <c r="K33" s="67" t="s">
        <v>334</v>
      </c>
      <c r="L33" s="68" t="s">
        <v>291</v>
      </c>
      <c r="M33" s="68" t="s">
        <v>335</v>
      </c>
    </row>
    <row r="34" spans="1:13" s="55" customFormat="1" ht="24.95" customHeight="1" x14ac:dyDescent="0.2">
      <c r="A34" s="60">
        <v>27</v>
      </c>
      <c r="B34" s="61" t="s">
        <v>351</v>
      </c>
      <c r="C34" s="62" t="s">
        <v>352</v>
      </c>
      <c r="D34" s="63" t="s">
        <v>277</v>
      </c>
      <c r="E34" s="64">
        <v>30974</v>
      </c>
      <c r="F34" s="64" t="s">
        <v>288</v>
      </c>
      <c r="G34" s="69" t="s">
        <v>61</v>
      </c>
      <c r="H34" s="66">
        <v>45762</v>
      </c>
      <c r="I34" s="66">
        <v>45717</v>
      </c>
      <c r="J34" s="67" t="s">
        <v>313</v>
      </c>
      <c r="K34" s="67" t="s">
        <v>334</v>
      </c>
      <c r="L34" s="68" t="s">
        <v>291</v>
      </c>
      <c r="M34" s="68" t="s">
        <v>335</v>
      </c>
    </row>
    <row r="35" spans="1:13" s="55" customFormat="1" ht="24.95" customHeight="1" x14ac:dyDescent="0.2">
      <c r="A35" s="60">
        <v>28</v>
      </c>
      <c r="B35" s="61" t="s">
        <v>353</v>
      </c>
      <c r="C35" s="62" t="s">
        <v>354</v>
      </c>
      <c r="D35" s="63" t="s">
        <v>277</v>
      </c>
      <c r="E35" s="64">
        <v>29740</v>
      </c>
      <c r="F35" s="64" t="s">
        <v>270</v>
      </c>
      <c r="G35" s="69" t="s">
        <v>355</v>
      </c>
      <c r="H35" s="66">
        <v>45762</v>
      </c>
      <c r="I35" s="66">
        <v>45717</v>
      </c>
      <c r="J35" s="67" t="s">
        <v>313</v>
      </c>
      <c r="K35" s="67" t="s">
        <v>334</v>
      </c>
      <c r="L35" s="68" t="s">
        <v>291</v>
      </c>
      <c r="M35" s="68" t="s">
        <v>335</v>
      </c>
    </row>
    <row r="36" spans="1:13" s="55" customFormat="1" ht="24.95" customHeight="1" x14ac:dyDescent="0.2">
      <c r="A36" s="60">
        <v>29</v>
      </c>
      <c r="B36" s="61" t="s">
        <v>356</v>
      </c>
      <c r="C36" s="62" t="s">
        <v>357</v>
      </c>
      <c r="D36" s="63" t="s">
        <v>277</v>
      </c>
      <c r="E36" s="64">
        <v>30658</v>
      </c>
      <c r="F36" s="64" t="s">
        <v>270</v>
      </c>
      <c r="G36" s="69" t="s">
        <v>358</v>
      </c>
      <c r="H36" s="66">
        <v>45762</v>
      </c>
      <c r="I36" s="66">
        <v>45717</v>
      </c>
      <c r="J36" s="67" t="s">
        <v>313</v>
      </c>
      <c r="K36" s="67" t="s">
        <v>334</v>
      </c>
      <c r="L36" s="68" t="s">
        <v>291</v>
      </c>
      <c r="M36" s="68" t="s">
        <v>335</v>
      </c>
    </row>
    <row r="37" spans="1:13" s="55" customFormat="1" ht="24.95" customHeight="1" x14ac:dyDescent="0.2">
      <c r="A37" s="60">
        <v>30</v>
      </c>
      <c r="B37" s="61" t="s">
        <v>359</v>
      </c>
      <c r="C37" s="62" t="s">
        <v>360</v>
      </c>
      <c r="D37" s="63" t="s">
        <v>277</v>
      </c>
      <c r="E37" s="64">
        <v>28956</v>
      </c>
      <c r="F37" s="64" t="s">
        <v>270</v>
      </c>
      <c r="G37" s="69" t="s">
        <v>358</v>
      </c>
      <c r="H37" s="66">
        <v>45762</v>
      </c>
      <c r="I37" s="66">
        <v>45717</v>
      </c>
      <c r="J37" s="67" t="s">
        <v>313</v>
      </c>
      <c r="K37" s="67" t="s">
        <v>334</v>
      </c>
      <c r="L37" s="68" t="s">
        <v>291</v>
      </c>
      <c r="M37" s="68" t="s">
        <v>335</v>
      </c>
    </row>
    <row r="38" spans="1:13" s="55" customFormat="1" ht="24.95" customHeight="1" x14ac:dyDescent="0.2">
      <c r="A38" s="60">
        <v>31</v>
      </c>
      <c r="B38" s="61" t="s">
        <v>361</v>
      </c>
      <c r="C38" s="62" t="s">
        <v>362</v>
      </c>
      <c r="D38" s="63" t="s">
        <v>277</v>
      </c>
      <c r="E38" s="64">
        <v>29864</v>
      </c>
      <c r="F38" s="64" t="s">
        <v>270</v>
      </c>
      <c r="G38" s="69" t="s">
        <v>363</v>
      </c>
      <c r="H38" s="66">
        <v>45762</v>
      </c>
      <c r="I38" s="66">
        <v>45717</v>
      </c>
      <c r="J38" s="67" t="s">
        <v>313</v>
      </c>
      <c r="K38" s="67" t="s">
        <v>334</v>
      </c>
      <c r="L38" s="68" t="s">
        <v>291</v>
      </c>
      <c r="M38" s="68" t="s">
        <v>335</v>
      </c>
    </row>
    <row r="39" spans="1:13" s="55" customFormat="1" ht="24.95" customHeight="1" x14ac:dyDescent="0.2">
      <c r="A39" s="60">
        <v>32</v>
      </c>
      <c r="B39" s="61" t="s">
        <v>364</v>
      </c>
      <c r="C39" s="62" t="s">
        <v>365</v>
      </c>
      <c r="D39" s="63" t="s">
        <v>277</v>
      </c>
      <c r="E39" s="64">
        <v>31009</v>
      </c>
      <c r="F39" s="64" t="s">
        <v>270</v>
      </c>
      <c r="G39" s="69" t="s">
        <v>366</v>
      </c>
      <c r="H39" s="66">
        <v>45762</v>
      </c>
      <c r="I39" s="66">
        <v>45717</v>
      </c>
      <c r="J39" s="67" t="s">
        <v>313</v>
      </c>
      <c r="K39" s="67" t="s">
        <v>273</v>
      </c>
      <c r="L39" s="68" t="s">
        <v>280</v>
      </c>
      <c r="M39" s="68" t="s">
        <v>315</v>
      </c>
    </row>
    <row r="40" spans="1:13" s="55" customFormat="1" ht="24.95" customHeight="1" x14ac:dyDescent="0.2">
      <c r="A40" s="60">
        <v>33</v>
      </c>
      <c r="B40" s="61" t="s">
        <v>367</v>
      </c>
      <c r="C40" s="62" t="s">
        <v>368</v>
      </c>
      <c r="D40" s="63" t="s">
        <v>277</v>
      </c>
      <c r="E40" s="64">
        <v>29138</v>
      </c>
      <c r="F40" s="64" t="s">
        <v>270</v>
      </c>
      <c r="G40" s="69" t="s">
        <v>366</v>
      </c>
      <c r="H40" s="66">
        <v>45762</v>
      </c>
      <c r="I40" s="66">
        <v>45717</v>
      </c>
      <c r="J40" s="67" t="s">
        <v>313</v>
      </c>
      <c r="K40" s="67" t="s">
        <v>273</v>
      </c>
      <c r="L40" s="68" t="s">
        <v>280</v>
      </c>
      <c r="M40" s="68" t="s">
        <v>315</v>
      </c>
    </row>
    <row r="41" spans="1:13" s="55" customFormat="1" ht="24.95" customHeight="1" x14ac:dyDescent="0.2">
      <c r="A41" s="60">
        <v>34</v>
      </c>
      <c r="B41" s="61" t="s">
        <v>369</v>
      </c>
      <c r="C41" s="62" t="s">
        <v>370</v>
      </c>
      <c r="D41" s="63" t="s">
        <v>371</v>
      </c>
      <c r="E41" s="64">
        <v>26847</v>
      </c>
      <c r="F41" s="64" t="s">
        <v>270</v>
      </c>
      <c r="G41" s="69" t="s">
        <v>338</v>
      </c>
      <c r="H41" s="66">
        <v>45762</v>
      </c>
      <c r="I41" s="66">
        <v>45717</v>
      </c>
      <c r="J41" s="67" t="s">
        <v>313</v>
      </c>
      <c r="K41" s="67" t="s">
        <v>334</v>
      </c>
      <c r="L41" s="68" t="s">
        <v>280</v>
      </c>
      <c r="M41" s="68" t="s">
        <v>335</v>
      </c>
    </row>
    <row r="42" spans="1:13" s="55" customFormat="1" ht="24.95" customHeight="1" x14ac:dyDescent="0.2">
      <c r="A42" s="60">
        <v>35</v>
      </c>
      <c r="B42" s="61" t="s">
        <v>372</v>
      </c>
      <c r="C42" s="62" t="s">
        <v>373</v>
      </c>
      <c r="D42" s="63" t="s">
        <v>277</v>
      </c>
      <c r="E42" s="64">
        <v>30209</v>
      </c>
      <c r="F42" s="64" t="s">
        <v>270</v>
      </c>
      <c r="G42" s="69" t="s">
        <v>374</v>
      </c>
      <c r="H42" s="66">
        <v>45762</v>
      </c>
      <c r="I42" s="66">
        <v>45717</v>
      </c>
      <c r="J42" s="67" t="s">
        <v>313</v>
      </c>
      <c r="K42" s="67" t="s">
        <v>334</v>
      </c>
      <c r="L42" s="68" t="s">
        <v>280</v>
      </c>
      <c r="M42" s="68" t="s">
        <v>335</v>
      </c>
    </row>
    <row r="43" spans="1:13" s="55" customFormat="1" ht="24.95" customHeight="1" x14ac:dyDescent="0.2">
      <c r="A43" s="60">
        <v>36</v>
      </c>
      <c r="B43" s="61" t="s">
        <v>375</v>
      </c>
      <c r="C43" s="62" t="s">
        <v>376</v>
      </c>
      <c r="D43" s="63" t="s">
        <v>277</v>
      </c>
      <c r="E43" s="64">
        <v>30608</v>
      </c>
      <c r="F43" s="64" t="s">
        <v>270</v>
      </c>
      <c r="G43" s="69" t="s">
        <v>377</v>
      </c>
      <c r="H43" s="66">
        <v>45762</v>
      </c>
      <c r="I43" s="66">
        <v>45717</v>
      </c>
      <c r="J43" s="67" t="s">
        <v>313</v>
      </c>
      <c r="K43" s="67" t="s">
        <v>334</v>
      </c>
      <c r="L43" s="68" t="s">
        <v>280</v>
      </c>
      <c r="M43" s="68" t="s">
        <v>335</v>
      </c>
    </row>
    <row r="44" spans="1:13" s="55" customFormat="1" ht="24.95" customHeight="1" x14ac:dyDescent="0.2">
      <c r="A44" s="60">
        <v>37</v>
      </c>
      <c r="B44" s="61" t="s">
        <v>378</v>
      </c>
      <c r="C44" s="62" t="s">
        <v>379</v>
      </c>
      <c r="D44" s="63" t="s">
        <v>277</v>
      </c>
      <c r="E44" s="64">
        <v>29136</v>
      </c>
      <c r="F44" s="64" t="s">
        <v>270</v>
      </c>
      <c r="G44" s="69" t="s">
        <v>380</v>
      </c>
      <c r="H44" s="66">
        <v>45762</v>
      </c>
      <c r="I44" s="66">
        <v>45717</v>
      </c>
      <c r="J44" s="67" t="s">
        <v>313</v>
      </c>
      <c r="K44" s="67" t="s">
        <v>334</v>
      </c>
      <c r="L44" s="68" t="s">
        <v>280</v>
      </c>
      <c r="M44" s="68" t="s">
        <v>335</v>
      </c>
    </row>
    <row r="45" spans="1:13" s="55" customFormat="1" ht="24.95" customHeight="1" x14ac:dyDescent="0.2">
      <c r="A45" s="60">
        <v>38</v>
      </c>
      <c r="B45" s="61" t="s">
        <v>381</v>
      </c>
      <c r="C45" s="62" t="s">
        <v>382</v>
      </c>
      <c r="D45" s="63" t="s">
        <v>277</v>
      </c>
      <c r="E45" s="64">
        <v>29178</v>
      </c>
      <c r="F45" s="64" t="s">
        <v>270</v>
      </c>
      <c r="G45" s="69" t="s">
        <v>383</v>
      </c>
      <c r="H45" s="66">
        <v>45762</v>
      </c>
      <c r="I45" s="66">
        <v>45717</v>
      </c>
      <c r="J45" s="67" t="s">
        <v>313</v>
      </c>
      <c r="K45" s="67" t="s">
        <v>334</v>
      </c>
      <c r="L45" s="68" t="s">
        <v>280</v>
      </c>
      <c r="M45" s="68" t="s">
        <v>335</v>
      </c>
    </row>
    <row r="46" spans="1:13" s="55" customFormat="1" ht="24.95" customHeight="1" x14ac:dyDescent="0.2">
      <c r="A46" s="60">
        <v>39</v>
      </c>
      <c r="B46" s="61" t="s">
        <v>384</v>
      </c>
      <c r="C46" s="62" t="s">
        <v>385</v>
      </c>
      <c r="D46" s="63" t="s">
        <v>277</v>
      </c>
      <c r="E46" s="64">
        <v>27952</v>
      </c>
      <c r="F46" s="64" t="s">
        <v>270</v>
      </c>
      <c r="G46" s="69" t="s">
        <v>386</v>
      </c>
      <c r="H46" s="66">
        <v>45762</v>
      </c>
      <c r="I46" s="66">
        <v>45717</v>
      </c>
      <c r="J46" s="67" t="s">
        <v>313</v>
      </c>
      <c r="K46" s="67" t="s">
        <v>334</v>
      </c>
      <c r="L46" s="68" t="s">
        <v>280</v>
      </c>
      <c r="M46" s="68" t="s">
        <v>335</v>
      </c>
    </row>
    <row r="47" spans="1:13" s="55" customFormat="1" ht="24.95" customHeight="1" x14ac:dyDescent="0.2">
      <c r="A47" s="60">
        <v>40</v>
      </c>
      <c r="B47" s="61" t="s">
        <v>387</v>
      </c>
      <c r="C47" s="62" t="s">
        <v>388</v>
      </c>
      <c r="D47" s="63" t="s">
        <v>277</v>
      </c>
      <c r="E47" s="64">
        <v>30146</v>
      </c>
      <c r="F47" s="64" t="s">
        <v>270</v>
      </c>
      <c r="G47" s="69" t="s">
        <v>338</v>
      </c>
      <c r="H47" s="66">
        <v>45762</v>
      </c>
      <c r="I47" s="66">
        <v>45717</v>
      </c>
      <c r="J47" s="67" t="s">
        <v>313</v>
      </c>
      <c r="K47" s="67" t="s">
        <v>334</v>
      </c>
      <c r="L47" s="68" t="s">
        <v>280</v>
      </c>
      <c r="M47" s="68" t="s">
        <v>335</v>
      </c>
    </row>
    <row r="48" spans="1:13" s="55" customFormat="1" ht="24.95" customHeight="1" x14ac:dyDescent="0.2">
      <c r="A48" s="60">
        <v>41</v>
      </c>
      <c r="B48" s="61" t="s">
        <v>389</v>
      </c>
      <c r="C48" s="62" t="s">
        <v>390</v>
      </c>
      <c r="D48" s="63" t="s">
        <v>277</v>
      </c>
      <c r="E48" s="64">
        <v>30537</v>
      </c>
      <c r="F48" s="64" t="s">
        <v>270</v>
      </c>
      <c r="G48" s="69" t="s">
        <v>347</v>
      </c>
      <c r="H48" s="66">
        <v>45762</v>
      </c>
      <c r="I48" s="66">
        <v>45717</v>
      </c>
      <c r="J48" s="67" t="s">
        <v>313</v>
      </c>
      <c r="K48" s="67" t="s">
        <v>334</v>
      </c>
      <c r="L48" s="68" t="s">
        <v>280</v>
      </c>
      <c r="M48" s="68" t="s">
        <v>335</v>
      </c>
    </row>
    <row r="49" spans="1:13" s="55" customFormat="1" ht="24.95" customHeight="1" x14ac:dyDescent="0.2">
      <c r="A49" s="60">
        <v>42</v>
      </c>
      <c r="B49" s="61" t="s">
        <v>391</v>
      </c>
      <c r="C49" s="62" t="s">
        <v>392</v>
      </c>
      <c r="D49" s="63" t="s">
        <v>277</v>
      </c>
      <c r="E49" s="64">
        <v>30229</v>
      </c>
      <c r="F49" s="64" t="s">
        <v>270</v>
      </c>
      <c r="G49" s="69" t="s">
        <v>386</v>
      </c>
      <c r="H49" s="66">
        <v>45762</v>
      </c>
      <c r="I49" s="66">
        <v>45717</v>
      </c>
      <c r="J49" s="67" t="s">
        <v>313</v>
      </c>
      <c r="K49" s="67" t="s">
        <v>334</v>
      </c>
      <c r="L49" s="68" t="s">
        <v>280</v>
      </c>
      <c r="M49" s="68" t="s">
        <v>335</v>
      </c>
    </row>
    <row r="50" spans="1:13" s="55" customFormat="1" ht="24.95" customHeight="1" x14ac:dyDescent="0.2">
      <c r="A50" s="60">
        <v>43</v>
      </c>
      <c r="B50" s="61" t="s">
        <v>393</v>
      </c>
      <c r="C50" s="62" t="s">
        <v>394</v>
      </c>
      <c r="D50" s="63" t="s">
        <v>277</v>
      </c>
      <c r="E50" s="64">
        <v>31016</v>
      </c>
      <c r="F50" s="64" t="s">
        <v>288</v>
      </c>
      <c r="G50" s="69" t="s">
        <v>395</v>
      </c>
      <c r="H50" s="66">
        <v>45762</v>
      </c>
      <c r="I50" s="66">
        <v>45717</v>
      </c>
      <c r="J50" s="67" t="s">
        <v>313</v>
      </c>
      <c r="K50" s="67" t="s">
        <v>334</v>
      </c>
      <c r="L50" s="68" t="s">
        <v>280</v>
      </c>
      <c r="M50" s="68" t="s">
        <v>335</v>
      </c>
    </row>
    <row r="51" spans="1:13" s="55" customFormat="1" ht="24.95" customHeight="1" x14ac:dyDescent="0.2">
      <c r="A51" s="60">
        <v>44</v>
      </c>
      <c r="B51" s="61" t="s">
        <v>396</v>
      </c>
      <c r="C51" s="62" t="s">
        <v>397</v>
      </c>
      <c r="D51" s="63" t="s">
        <v>277</v>
      </c>
      <c r="E51" s="64">
        <v>31014</v>
      </c>
      <c r="F51" s="64" t="s">
        <v>270</v>
      </c>
      <c r="G51" s="69" t="s">
        <v>338</v>
      </c>
      <c r="H51" s="66">
        <v>45762</v>
      </c>
      <c r="I51" s="66">
        <v>45717</v>
      </c>
      <c r="J51" s="67" t="s">
        <v>313</v>
      </c>
      <c r="K51" s="67" t="s">
        <v>334</v>
      </c>
      <c r="L51" s="68" t="s">
        <v>280</v>
      </c>
      <c r="M51" s="68" t="s">
        <v>335</v>
      </c>
    </row>
    <row r="52" spans="1:13" s="55" customFormat="1" ht="24.95" customHeight="1" x14ac:dyDescent="0.2">
      <c r="A52" s="60">
        <v>45</v>
      </c>
      <c r="B52" s="61" t="s">
        <v>398</v>
      </c>
      <c r="C52" s="62" t="s">
        <v>399</v>
      </c>
      <c r="D52" s="63" t="s">
        <v>277</v>
      </c>
      <c r="E52" s="64">
        <v>29814</v>
      </c>
      <c r="F52" s="64" t="s">
        <v>270</v>
      </c>
      <c r="G52" s="69" t="s">
        <v>400</v>
      </c>
      <c r="H52" s="66">
        <v>45762</v>
      </c>
      <c r="I52" s="66">
        <v>45717</v>
      </c>
      <c r="J52" s="67" t="s">
        <v>313</v>
      </c>
      <c r="K52" s="67" t="s">
        <v>334</v>
      </c>
      <c r="L52" s="68" t="s">
        <v>280</v>
      </c>
      <c r="M52" s="68" t="s">
        <v>335</v>
      </c>
    </row>
    <row r="53" spans="1:13" s="55" customFormat="1" ht="24.95" customHeight="1" x14ac:dyDescent="0.2">
      <c r="A53" s="60">
        <v>46</v>
      </c>
      <c r="B53" s="61" t="s">
        <v>401</v>
      </c>
      <c r="C53" s="62" t="s">
        <v>402</v>
      </c>
      <c r="D53" s="63" t="s">
        <v>277</v>
      </c>
      <c r="E53" s="64">
        <v>28194</v>
      </c>
      <c r="F53" s="64" t="s">
        <v>270</v>
      </c>
      <c r="G53" s="69" t="s">
        <v>366</v>
      </c>
      <c r="H53" s="66">
        <v>45762</v>
      </c>
      <c r="I53" s="66">
        <v>45717</v>
      </c>
      <c r="J53" s="67" t="s">
        <v>313</v>
      </c>
      <c r="K53" s="67" t="s">
        <v>273</v>
      </c>
      <c r="L53" s="68" t="s">
        <v>274</v>
      </c>
      <c r="M53" s="68" t="s">
        <v>315</v>
      </c>
    </row>
    <row r="54" spans="1:13" s="55" customFormat="1" ht="24.95" customHeight="1" x14ac:dyDescent="0.2">
      <c r="A54" s="60">
        <v>47</v>
      </c>
      <c r="B54" s="61" t="s">
        <v>403</v>
      </c>
      <c r="C54" s="62" t="s">
        <v>404</v>
      </c>
      <c r="D54" s="63" t="s">
        <v>277</v>
      </c>
      <c r="E54" s="64">
        <v>30476</v>
      </c>
      <c r="F54" s="64" t="s">
        <v>270</v>
      </c>
      <c r="G54" s="69" t="s">
        <v>405</v>
      </c>
      <c r="H54" s="66">
        <v>45762</v>
      </c>
      <c r="I54" s="66">
        <v>45717</v>
      </c>
      <c r="J54" s="67" t="s">
        <v>313</v>
      </c>
      <c r="K54" s="67" t="s">
        <v>273</v>
      </c>
      <c r="L54" s="68" t="s">
        <v>274</v>
      </c>
      <c r="M54" s="68" t="s">
        <v>315</v>
      </c>
    </row>
    <row r="55" spans="1:13" s="55" customFormat="1" ht="24.95" customHeight="1" x14ac:dyDescent="0.2">
      <c r="A55" s="60">
        <v>48</v>
      </c>
      <c r="B55" s="61" t="s">
        <v>406</v>
      </c>
      <c r="C55" s="62" t="s">
        <v>407</v>
      </c>
      <c r="D55" s="63" t="s">
        <v>277</v>
      </c>
      <c r="E55" s="64">
        <v>30326</v>
      </c>
      <c r="F55" s="64" t="s">
        <v>288</v>
      </c>
      <c r="G55" s="69" t="s">
        <v>312</v>
      </c>
      <c r="H55" s="66">
        <v>45762</v>
      </c>
      <c r="I55" s="66">
        <v>45717</v>
      </c>
      <c r="J55" s="67" t="s">
        <v>313</v>
      </c>
      <c r="K55" s="67" t="s">
        <v>273</v>
      </c>
      <c r="L55" s="68" t="s">
        <v>300</v>
      </c>
      <c r="M55" s="68" t="s">
        <v>315</v>
      </c>
    </row>
    <row r="56" spans="1:13" s="55" customFormat="1" ht="24.95" customHeight="1" x14ac:dyDescent="0.2">
      <c r="A56" s="60">
        <v>49</v>
      </c>
      <c r="B56" s="61" t="s">
        <v>408</v>
      </c>
      <c r="C56" s="62" t="s">
        <v>409</v>
      </c>
      <c r="D56" s="63" t="s">
        <v>277</v>
      </c>
      <c r="E56" s="64">
        <v>33741</v>
      </c>
      <c r="F56" s="64" t="s">
        <v>270</v>
      </c>
      <c r="G56" s="69" t="s">
        <v>410</v>
      </c>
      <c r="H56" s="66">
        <v>45762</v>
      </c>
      <c r="I56" s="66">
        <v>45717</v>
      </c>
      <c r="J56" s="67" t="s">
        <v>313</v>
      </c>
      <c r="K56" s="67" t="s">
        <v>273</v>
      </c>
      <c r="L56" s="68" t="s">
        <v>300</v>
      </c>
      <c r="M56" s="68" t="s">
        <v>315</v>
      </c>
    </row>
    <row r="57" spans="1:13" s="55" customFormat="1" ht="24.95" customHeight="1" x14ac:dyDescent="0.2">
      <c r="A57" s="100"/>
      <c r="B57" s="101"/>
      <c r="C57" s="102"/>
      <c r="D57" s="103"/>
      <c r="E57" s="104"/>
      <c r="F57" s="104"/>
      <c r="G57" s="105"/>
      <c r="H57" s="106"/>
      <c r="I57" s="106"/>
      <c r="J57" s="107"/>
      <c r="K57" s="107"/>
      <c r="L57" s="108"/>
      <c r="M57" s="108"/>
    </row>
    <row r="58" spans="1:13" s="55" customFormat="1" ht="24.95" customHeight="1" x14ac:dyDescent="0.2">
      <c r="A58" s="100"/>
      <c r="B58" s="101"/>
      <c r="C58" s="102"/>
      <c r="D58" s="103"/>
      <c r="E58" s="104"/>
      <c r="F58" s="104"/>
      <c r="G58" s="105"/>
      <c r="H58" s="106"/>
      <c r="I58" s="106"/>
      <c r="J58" s="107"/>
      <c r="K58" s="107"/>
      <c r="L58" s="108"/>
      <c r="M58" s="108"/>
    </row>
    <row r="61" spans="1:13" ht="15" customHeight="1" x14ac:dyDescent="0.2">
      <c r="L61" s="258" t="s">
        <v>509</v>
      </c>
      <c r="M61" s="258"/>
    </row>
    <row r="62" spans="1:13" ht="12.75" x14ac:dyDescent="0.2">
      <c r="L62" s="80"/>
      <c r="M62" s="79"/>
    </row>
    <row r="63" spans="1:13" ht="15" customHeight="1" x14ac:dyDescent="0.2">
      <c r="L63" s="258" t="s">
        <v>411</v>
      </c>
      <c r="M63" s="258"/>
    </row>
    <row r="64" spans="1:13" ht="15" customHeight="1" x14ac:dyDescent="0.2">
      <c r="L64" s="258" t="s">
        <v>412</v>
      </c>
      <c r="M64" s="258"/>
    </row>
    <row r="65" spans="10:13" ht="12.75" x14ac:dyDescent="0.2">
      <c r="L65" s="80"/>
      <c r="M65" s="79"/>
    </row>
    <row r="66" spans="10:13" ht="12.75" x14ac:dyDescent="0.2">
      <c r="L66" s="80"/>
      <c r="M66" s="79"/>
    </row>
    <row r="67" spans="10:13" ht="12.75" x14ac:dyDescent="0.2">
      <c r="J67" s="81"/>
      <c r="K67" s="81"/>
      <c r="L67" s="80"/>
      <c r="M67" s="79"/>
    </row>
    <row r="68" spans="10:13" ht="12.75" x14ac:dyDescent="0.2">
      <c r="L68" s="80"/>
      <c r="M68" s="79"/>
    </row>
    <row r="69" spans="10:13" ht="15" customHeight="1" x14ac:dyDescent="0.2">
      <c r="L69" s="258" t="s">
        <v>413</v>
      </c>
      <c r="M69" s="258"/>
    </row>
    <row r="70" spans="10:13" ht="15" customHeight="1" x14ac:dyDescent="0.2">
      <c r="L70" s="258" t="s">
        <v>414</v>
      </c>
      <c r="M70" s="258"/>
    </row>
    <row r="74" spans="10:13" x14ac:dyDescent="0.2">
      <c r="J74" s="82"/>
      <c r="K74" s="82"/>
    </row>
    <row r="75" spans="10:13" x14ac:dyDescent="0.2">
      <c r="J75" s="82"/>
      <c r="K75" s="82"/>
    </row>
    <row r="76" spans="10:13" x14ac:dyDescent="0.2">
      <c r="J76" s="82"/>
      <c r="K76" s="82"/>
    </row>
  </sheetData>
  <autoFilter ref="M1:M76" xr:uid="{D5A24CE3-494F-4447-9126-72344183F42E}"/>
  <mergeCells count="19">
    <mergeCell ref="L64:M64"/>
    <mergeCell ref="L69:M69"/>
    <mergeCell ref="L70:M70"/>
    <mergeCell ref="K5:K6"/>
    <mergeCell ref="L5:L6"/>
    <mergeCell ref="M5:M6"/>
    <mergeCell ref="D7:E7"/>
    <mergeCell ref="L61:M61"/>
    <mergeCell ref="L63:M63"/>
    <mergeCell ref="A1:M1"/>
    <mergeCell ref="A2:M2"/>
    <mergeCell ref="A3:M3"/>
    <mergeCell ref="A5:A6"/>
    <mergeCell ref="B5:B6"/>
    <mergeCell ref="C5:C6"/>
    <mergeCell ref="D5:E6"/>
    <mergeCell ref="F5:F6"/>
    <mergeCell ref="G5:G6"/>
    <mergeCell ref="H5:J5"/>
  </mergeCells>
  <phoneticPr fontId="16" type="noConversion"/>
  <printOptions horizontalCentered="1"/>
  <pageMargins left="0.23622047244094491" right="0.19685039370078741" top="0.86614173228346458" bottom="0.94488188976377963" header="0.31496062992125984" footer="0.31496062992125984"/>
  <pageSetup paperSize="10000" scale="6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65A81-67FD-4BDD-BC8C-91ADC206176A}">
  <dimension ref="A1:N91"/>
  <sheetViews>
    <sheetView topLeftCell="A54" zoomScale="102" zoomScaleNormal="102" zoomScaleSheetLayoutView="100" workbookViewId="0">
      <selection activeCell="G8" sqref="G8"/>
    </sheetView>
  </sheetViews>
  <sheetFormatPr defaultColWidth="9.140625" defaultRowHeight="12" x14ac:dyDescent="0.2"/>
  <cols>
    <col min="1" max="1" width="4.42578125" style="49" customWidth="1"/>
    <col min="2" max="2" width="32.28515625" style="49" customWidth="1"/>
    <col min="3" max="3" width="20.42578125" style="49" customWidth="1"/>
    <col min="4" max="4" width="12.7109375" style="76" customWidth="1"/>
    <col min="5" max="5" width="19.85546875" style="114" customWidth="1"/>
    <col min="6" max="6" width="12.85546875" style="77" customWidth="1"/>
    <col min="7" max="7" width="10.28515625" style="49" customWidth="1"/>
    <col min="8" max="8" width="32.7109375" style="49" customWidth="1"/>
    <col min="9" max="9" width="19.140625" style="49" customWidth="1"/>
    <col min="10" max="10" width="17.85546875" style="49" customWidth="1"/>
    <col min="11" max="11" width="25.28515625" style="78" customWidth="1"/>
    <col min="12" max="12" width="9.5703125" style="78" customWidth="1"/>
    <col min="13" max="13" width="36.140625" style="83" customWidth="1"/>
    <col min="14" max="14" width="30.140625" style="83" customWidth="1"/>
    <col min="15" max="16384" width="9.140625" style="49"/>
  </cols>
  <sheetData>
    <row r="1" spans="1:14" ht="15.75" x14ac:dyDescent="0.25">
      <c r="A1" s="259" t="s">
        <v>511</v>
      </c>
      <c r="B1" s="259"/>
      <c r="C1" s="259"/>
      <c r="D1" s="259"/>
      <c r="E1" s="259"/>
      <c r="F1" s="259"/>
      <c r="G1" s="259"/>
      <c r="H1" s="259"/>
      <c r="I1" s="259"/>
      <c r="J1" s="259"/>
      <c r="K1" s="259"/>
      <c r="L1" s="259"/>
      <c r="M1" s="259"/>
      <c r="N1" s="259"/>
    </row>
    <row r="2" spans="1:14" ht="15.75" x14ac:dyDescent="0.25">
      <c r="A2" s="259" t="s">
        <v>250</v>
      </c>
      <c r="B2" s="259"/>
      <c r="C2" s="259"/>
      <c r="D2" s="259"/>
      <c r="E2" s="259"/>
      <c r="F2" s="259"/>
      <c r="G2" s="259"/>
      <c r="H2" s="259"/>
      <c r="I2" s="259"/>
      <c r="J2" s="259"/>
      <c r="K2" s="259"/>
      <c r="L2" s="259"/>
      <c r="M2" s="259"/>
      <c r="N2" s="259"/>
    </row>
    <row r="3" spans="1:14" ht="15.75" x14ac:dyDescent="0.2">
      <c r="A3" s="260"/>
      <c r="B3" s="260"/>
      <c r="C3" s="260"/>
      <c r="D3" s="260"/>
      <c r="E3" s="260"/>
      <c r="F3" s="260"/>
      <c r="G3" s="260"/>
      <c r="H3" s="260"/>
      <c r="I3" s="260"/>
      <c r="J3" s="260"/>
      <c r="K3" s="260"/>
      <c r="L3" s="260"/>
      <c r="M3" s="260"/>
      <c r="N3" s="260"/>
    </row>
    <row r="4" spans="1:14" x14ac:dyDescent="0.2">
      <c r="A4" s="50"/>
      <c r="B4" s="50"/>
      <c r="C4" s="50"/>
      <c r="D4" s="51"/>
      <c r="E4" s="113"/>
      <c r="F4" s="52"/>
      <c r="G4" s="50"/>
      <c r="H4" s="50"/>
      <c r="I4" s="50"/>
      <c r="J4" s="50"/>
      <c r="K4" s="51"/>
      <c r="L4" s="51"/>
      <c r="M4" s="50"/>
      <c r="N4" s="50"/>
    </row>
    <row r="5" spans="1:14" ht="20.25" customHeight="1" x14ac:dyDescent="0.2">
      <c r="A5" s="261" t="s">
        <v>251</v>
      </c>
      <c r="B5" s="261" t="s">
        <v>252</v>
      </c>
      <c r="C5" s="261" t="s">
        <v>253</v>
      </c>
      <c r="D5" s="263" t="s">
        <v>254</v>
      </c>
      <c r="E5" s="264"/>
      <c r="F5" s="267" t="s">
        <v>255</v>
      </c>
      <c r="G5" s="278" t="s">
        <v>256</v>
      </c>
      <c r="H5" s="279"/>
      <c r="I5" s="271" t="s">
        <v>257</v>
      </c>
      <c r="J5" s="272"/>
      <c r="K5" s="273"/>
      <c r="L5" s="274" t="s">
        <v>258</v>
      </c>
      <c r="M5" s="269" t="s">
        <v>259</v>
      </c>
      <c r="N5" s="269" t="s">
        <v>260</v>
      </c>
    </row>
    <row r="6" spans="1:14" s="55" customFormat="1" ht="36.75" customHeight="1" x14ac:dyDescent="0.2">
      <c r="A6" s="262"/>
      <c r="B6" s="262"/>
      <c r="C6" s="262"/>
      <c r="D6" s="265"/>
      <c r="E6" s="266"/>
      <c r="F6" s="268"/>
      <c r="G6" s="280"/>
      <c r="H6" s="281"/>
      <c r="I6" s="53" t="s">
        <v>261</v>
      </c>
      <c r="J6" s="53" t="s">
        <v>122</v>
      </c>
      <c r="K6" s="54" t="s">
        <v>262</v>
      </c>
      <c r="L6" s="275"/>
      <c r="M6" s="270"/>
      <c r="N6" s="270"/>
    </row>
    <row r="7" spans="1:14" s="55" customFormat="1" x14ac:dyDescent="0.2">
      <c r="A7" s="56">
        <v>1</v>
      </c>
      <c r="B7" s="56">
        <v>2</v>
      </c>
      <c r="C7" s="57">
        <v>3</v>
      </c>
      <c r="D7" s="256" t="s">
        <v>263</v>
      </c>
      <c r="E7" s="257"/>
      <c r="F7" s="58" t="s">
        <v>264</v>
      </c>
      <c r="G7" s="276">
        <v>6</v>
      </c>
      <c r="H7" s="277"/>
      <c r="I7" s="56">
        <v>7</v>
      </c>
      <c r="J7" s="56">
        <v>8</v>
      </c>
      <c r="K7" s="59" t="s">
        <v>265</v>
      </c>
      <c r="L7" s="56">
        <v>10</v>
      </c>
      <c r="M7" s="59" t="s">
        <v>266</v>
      </c>
      <c r="N7" s="56">
        <v>12</v>
      </c>
    </row>
    <row r="8" spans="1:14" s="55" customFormat="1" ht="24.95" customHeight="1" x14ac:dyDescent="0.2">
      <c r="A8" s="60">
        <v>1</v>
      </c>
      <c r="B8" s="70" t="s">
        <v>522</v>
      </c>
      <c r="C8" s="62"/>
      <c r="D8" s="61" t="s">
        <v>277</v>
      </c>
      <c r="E8" s="112">
        <v>31582</v>
      </c>
      <c r="F8" s="117" t="s">
        <v>270</v>
      </c>
      <c r="G8" s="118" t="s">
        <v>494</v>
      </c>
      <c r="H8" s="110" t="s">
        <v>581</v>
      </c>
      <c r="I8" s="66"/>
      <c r="J8" s="66"/>
      <c r="K8" s="67"/>
      <c r="L8" s="67" t="s">
        <v>334</v>
      </c>
      <c r="M8" s="109" t="s">
        <v>557</v>
      </c>
      <c r="N8" s="68" t="s">
        <v>335</v>
      </c>
    </row>
    <row r="9" spans="1:14" s="55" customFormat="1" ht="24.95" customHeight="1" x14ac:dyDescent="0.2">
      <c r="A9" s="60">
        <v>2</v>
      </c>
      <c r="B9" s="70" t="s">
        <v>415</v>
      </c>
      <c r="C9" s="62"/>
      <c r="D9" s="61" t="s">
        <v>277</v>
      </c>
      <c r="E9" s="112">
        <v>29432</v>
      </c>
      <c r="F9" s="117" t="s">
        <v>270</v>
      </c>
      <c r="G9" s="118" t="s">
        <v>494</v>
      </c>
      <c r="H9" s="110" t="s">
        <v>494</v>
      </c>
      <c r="I9" s="66"/>
      <c r="J9" s="66"/>
      <c r="K9" s="67"/>
      <c r="L9" s="67" t="s">
        <v>334</v>
      </c>
      <c r="M9" s="109" t="s">
        <v>557</v>
      </c>
      <c r="N9" s="68" t="s">
        <v>335</v>
      </c>
    </row>
    <row r="10" spans="1:14" s="55" customFormat="1" ht="24.95" customHeight="1" x14ac:dyDescent="0.2">
      <c r="A10" s="60">
        <v>3</v>
      </c>
      <c r="B10" s="70" t="s">
        <v>416</v>
      </c>
      <c r="C10" s="62"/>
      <c r="D10" s="61" t="s">
        <v>277</v>
      </c>
      <c r="E10" s="112">
        <v>29184</v>
      </c>
      <c r="F10" s="117" t="s">
        <v>270</v>
      </c>
      <c r="G10" s="118" t="s">
        <v>494</v>
      </c>
      <c r="H10" s="110" t="s">
        <v>494</v>
      </c>
      <c r="I10" s="66"/>
      <c r="J10" s="66"/>
      <c r="K10" s="67"/>
      <c r="L10" s="67" t="s">
        <v>334</v>
      </c>
      <c r="M10" s="109" t="s">
        <v>557</v>
      </c>
      <c r="N10" s="68" t="s">
        <v>335</v>
      </c>
    </row>
    <row r="11" spans="1:14" s="55" customFormat="1" ht="24.95" customHeight="1" x14ac:dyDescent="0.2">
      <c r="A11" s="60">
        <v>4</v>
      </c>
      <c r="B11" s="61" t="s">
        <v>417</v>
      </c>
      <c r="C11" s="62"/>
      <c r="D11" s="61" t="s">
        <v>277</v>
      </c>
      <c r="E11" s="112">
        <v>32431</v>
      </c>
      <c r="F11" s="117" t="s">
        <v>288</v>
      </c>
      <c r="G11" s="115" t="s">
        <v>565</v>
      </c>
      <c r="H11" s="111" t="s">
        <v>571</v>
      </c>
      <c r="I11" s="66"/>
      <c r="J11" s="66"/>
      <c r="K11" s="67"/>
      <c r="L11" s="67" t="s">
        <v>273</v>
      </c>
      <c r="M11" s="109" t="s">
        <v>557</v>
      </c>
      <c r="N11" s="68" t="s">
        <v>315</v>
      </c>
    </row>
    <row r="12" spans="1:14" s="55" customFormat="1" ht="24.95" customHeight="1" x14ac:dyDescent="0.2">
      <c r="A12" s="60">
        <v>5</v>
      </c>
      <c r="B12" s="61" t="s">
        <v>418</v>
      </c>
      <c r="C12" s="62"/>
      <c r="D12" s="61" t="s">
        <v>277</v>
      </c>
      <c r="E12" s="112">
        <v>31032</v>
      </c>
      <c r="F12" s="117" t="s">
        <v>288</v>
      </c>
      <c r="G12" s="115" t="s">
        <v>560</v>
      </c>
      <c r="H12" s="111" t="s">
        <v>562</v>
      </c>
      <c r="I12" s="66"/>
      <c r="J12" s="66"/>
      <c r="K12" s="67"/>
      <c r="L12" s="67" t="s">
        <v>273</v>
      </c>
      <c r="M12" s="109" t="s">
        <v>557</v>
      </c>
      <c r="N12" s="68" t="s">
        <v>315</v>
      </c>
    </row>
    <row r="13" spans="1:14" s="55" customFormat="1" ht="24.95" customHeight="1" x14ac:dyDescent="0.2">
      <c r="A13" s="60">
        <v>6</v>
      </c>
      <c r="B13" s="61" t="s">
        <v>512</v>
      </c>
      <c r="C13" s="62"/>
      <c r="D13" s="61" t="s">
        <v>277</v>
      </c>
      <c r="E13" s="112">
        <v>35722</v>
      </c>
      <c r="F13" s="117" t="s">
        <v>288</v>
      </c>
      <c r="G13" s="115" t="s">
        <v>560</v>
      </c>
      <c r="H13" s="111" t="s">
        <v>561</v>
      </c>
      <c r="I13" s="66"/>
      <c r="J13" s="66"/>
      <c r="K13" s="67"/>
      <c r="L13" s="67" t="s">
        <v>273</v>
      </c>
      <c r="M13" s="109" t="s">
        <v>557</v>
      </c>
      <c r="N13" s="68" t="s">
        <v>315</v>
      </c>
    </row>
    <row r="14" spans="1:14" s="55" customFormat="1" ht="24.95" customHeight="1" x14ac:dyDescent="0.2">
      <c r="A14" s="60">
        <v>7</v>
      </c>
      <c r="B14" s="70" t="s">
        <v>419</v>
      </c>
      <c r="C14" s="62"/>
      <c r="D14" s="61" t="s">
        <v>277</v>
      </c>
      <c r="E14" s="112">
        <v>29345</v>
      </c>
      <c r="F14" s="117" t="s">
        <v>270</v>
      </c>
      <c r="G14" s="118" t="s">
        <v>494</v>
      </c>
      <c r="H14" s="110" t="s">
        <v>494</v>
      </c>
      <c r="I14" s="66"/>
      <c r="J14" s="66"/>
      <c r="K14" s="67"/>
      <c r="L14" s="67" t="s">
        <v>334</v>
      </c>
      <c r="M14" s="109" t="s">
        <v>280</v>
      </c>
      <c r="N14" s="68" t="s">
        <v>335</v>
      </c>
    </row>
    <row r="15" spans="1:14" s="55" customFormat="1" ht="24.95" customHeight="1" x14ac:dyDescent="0.2">
      <c r="A15" s="60">
        <v>8</v>
      </c>
      <c r="B15" s="70" t="s">
        <v>524</v>
      </c>
      <c r="C15" s="62"/>
      <c r="D15" s="61" t="s">
        <v>277</v>
      </c>
      <c r="E15" s="112">
        <v>34175</v>
      </c>
      <c r="F15" s="117" t="s">
        <v>270</v>
      </c>
      <c r="G15" s="118" t="s">
        <v>584</v>
      </c>
      <c r="H15" s="110" t="s">
        <v>585</v>
      </c>
      <c r="I15" s="66"/>
      <c r="J15" s="66"/>
      <c r="K15" s="67"/>
      <c r="L15" s="67" t="s">
        <v>334</v>
      </c>
      <c r="M15" s="109" t="s">
        <v>557</v>
      </c>
      <c r="N15" s="68" t="s">
        <v>335</v>
      </c>
    </row>
    <row r="16" spans="1:14" s="55" customFormat="1" ht="24.95" customHeight="1" x14ac:dyDescent="0.2">
      <c r="A16" s="60">
        <v>9</v>
      </c>
      <c r="B16" s="61" t="s">
        <v>420</v>
      </c>
      <c r="C16" s="62"/>
      <c r="D16" s="61" t="s">
        <v>277</v>
      </c>
      <c r="E16" s="112">
        <v>31812</v>
      </c>
      <c r="F16" s="117" t="s">
        <v>270</v>
      </c>
      <c r="G16" s="115" t="s">
        <v>560</v>
      </c>
      <c r="H16" s="111" t="s">
        <v>562</v>
      </c>
      <c r="I16" s="66"/>
      <c r="J16" s="66"/>
      <c r="K16" s="67"/>
      <c r="L16" s="67" t="s">
        <v>273</v>
      </c>
      <c r="M16" s="109" t="s">
        <v>557</v>
      </c>
      <c r="N16" s="68" t="s">
        <v>315</v>
      </c>
    </row>
    <row r="17" spans="1:14" s="55" customFormat="1" ht="24.95" customHeight="1" x14ac:dyDescent="0.2">
      <c r="A17" s="60">
        <v>10</v>
      </c>
      <c r="B17" s="70" t="s">
        <v>533</v>
      </c>
      <c r="C17" s="62"/>
      <c r="D17" s="61" t="s">
        <v>277</v>
      </c>
      <c r="E17" s="112">
        <v>36471</v>
      </c>
      <c r="F17" s="117" t="s">
        <v>270</v>
      </c>
      <c r="G17" s="118" t="s">
        <v>494</v>
      </c>
      <c r="H17" s="110" t="s">
        <v>589</v>
      </c>
      <c r="I17" s="66"/>
      <c r="J17" s="66"/>
      <c r="K17" s="67"/>
      <c r="L17" s="67" t="s">
        <v>334</v>
      </c>
      <c r="M17" s="109" t="s">
        <v>557</v>
      </c>
      <c r="N17" s="68" t="s">
        <v>335</v>
      </c>
    </row>
    <row r="18" spans="1:14" s="55" customFormat="1" ht="24.95" customHeight="1" x14ac:dyDescent="0.2">
      <c r="A18" s="60">
        <v>11</v>
      </c>
      <c r="B18" s="70" t="s">
        <v>421</v>
      </c>
      <c r="C18" s="62"/>
      <c r="D18" s="61" t="s">
        <v>277</v>
      </c>
      <c r="E18" s="112">
        <v>30571</v>
      </c>
      <c r="F18" s="117" t="s">
        <v>270</v>
      </c>
      <c r="G18" s="118" t="s">
        <v>494</v>
      </c>
      <c r="H18" s="110" t="s">
        <v>588</v>
      </c>
      <c r="I18" s="66"/>
      <c r="J18" s="66"/>
      <c r="K18" s="67"/>
      <c r="L18" s="67" t="s">
        <v>334</v>
      </c>
      <c r="M18" s="109" t="s">
        <v>557</v>
      </c>
      <c r="N18" s="68" t="s">
        <v>335</v>
      </c>
    </row>
    <row r="19" spans="1:14" s="55" customFormat="1" ht="24.95" customHeight="1" x14ac:dyDescent="0.2">
      <c r="A19" s="60">
        <v>12</v>
      </c>
      <c r="B19" s="70" t="s">
        <v>540</v>
      </c>
      <c r="C19" s="62"/>
      <c r="D19" s="61" t="s">
        <v>277</v>
      </c>
      <c r="E19" s="112">
        <v>32430</v>
      </c>
      <c r="F19" s="117" t="s">
        <v>270</v>
      </c>
      <c r="G19" s="118" t="s">
        <v>61</v>
      </c>
      <c r="H19" s="110" t="s">
        <v>61</v>
      </c>
      <c r="I19" s="66"/>
      <c r="J19" s="66"/>
      <c r="K19" s="67"/>
      <c r="L19" s="67" t="s">
        <v>334</v>
      </c>
      <c r="M19" s="109" t="s">
        <v>557</v>
      </c>
      <c r="N19" s="68" t="s">
        <v>335</v>
      </c>
    </row>
    <row r="20" spans="1:14" s="55" customFormat="1" ht="24.95" customHeight="1" x14ac:dyDescent="0.2">
      <c r="A20" s="60">
        <v>13</v>
      </c>
      <c r="B20" s="70" t="s">
        <v>531</v>
      </c>
      <c r="C20" s="62"/>
      <c r="D20" s="61" t="s">
        <v>277</v>
      </c>
      <c r="E20" s="112">
        <v>31805</v>
      </c>
      <c r="F20" s="117" t="s">
        <v>270</v>
      </c>
      <c r="G20" s="118" t="s">
        <v>494</v>
      </c>
      <c r="H20" s="110" t="s">
        <v>588</v>
      </c>
      <c r="I20" s="66"/>
      <c r="J20" s="66"/>
      <c r="K20" s="67"/>
      <c r="L20" s="67" t="s">
        <v>334</v>
      </c>
      <c r="M20" s="109" t="s">
        <v>557</v>
      </c>
      <c r="N20" s="68" t="s">
        <v>335</v>
      </c>
    </row>
    <row r="21" spans="1:14" s="55" customFormat="1" ht="24.95" customHeight="1" x14ac:dyDescent="0.2">
      <c r="A21" s="60">
        <v>14</v>
      </c>
      <c r="B21" s="70" t="s">
        <v>529</v>
      </c>
      <c r="C21" s="62"/>
      <c r="D21" s="61" t="s">
        <v>277</v>
      </c>
      <c r="E21" s="112">
        <v>32058</v>
      </c>
      <c r="F21" s="117" t="s">
        <v>270</v>
      </c>
      <c r="G21" s="118" t="s">
        <v>73</v>
      </c>
      <c r="H21" s="110" t="s">
        <v>495</v>
      </c>
      <c r="I21" s="66"/>
      <c r="J21" s="66"/>
      <c r="K21" s="67"/>
      <c r="L21" s="67" t="s">
        <v>334</v>
      </c>
      <c r="M21" s="109" t="s">
        <v>291</v>
      </c>
      <c r="N21" s="68" t="s">
        <v>335</v>
      </c>
    </row>
    <row r="22" spans="1:14" s="55" customFormat="1" ht="24.95" customHeight="1" x14ac:dyDescent="0.2">
      <c r="A22" s="60">
        <v>15</v>
      </c>
      <c r="B22" s="70" t="s">
        <v>422</v>
      </c>
      <c r="C22" s="62"/>
      <c r="D22" s="61" t="s">
        <v>277</v>
      </c>
      <c r="E22" s="112">
        <v>28322</v>
      </c>
      <c r="F22" s="117" t="s">
        <v>270</v>
      </c>
      <c r="G22" s="118" t="s">
        <v>592</v>
      </c>
      <c r="H22" s="110" t="s">
        <v>593</v>
      </c>
      <c r="I22" s="66"/>
      <c r="J22" s="66"/>
      <c r="K22" s="67"/>
      <c r="L22" s="67" t="s">
        <v>334</v>
      </c>
      <c r="M22" s="109" t="s">
        <v>557</v>
      </c>
      <c r="N22" s="68" t="s">
        <v>335</v>
      </c>
    </row>
    <row r="23" spans="1:14" s="55" customFormat="1" ht="24.95" customHeight="1" x14ac:dyDescent="0.2">
      <c r="A23" s="60">
        <v>16</v>
      </c>
      <c r="B23" s="61" t="s">
        <v>518</v>
      </c>
      <c r="C23" s="62"/>
      <c r="D23" s="61" t="s">
        <v>277</v>
      </c>
      <c r="E23" s="112">
        <v>34394</v>
      </c>
      <c r="F23" s="117" t="s">
        <v>270</v>
      </c>
      <c r="G23" s="115" t="s">
        <v>565</v>
      </c>
      <c r="H23" s="111" t="s">
        <v>573</v>
      </c>
      <c r="I23" s="66"/>
      <c r="J23" s="66"/>
      <c r="K23" s="67"/>
      <c r="L23" s="67" t="s">
        <v>273</v>
      </c>
      <c r="M23" s="109" t="s">
        <v>291</v>
      </c>
      <c r="N23" s="68" t="s">
        <v>315</v>
      </c>
    </row>
    <row r="24" spans="1:14" s="55" customFormat="1" ht="24.95" customHeight="1" x14ac:dyDescent="0.2">
      <c r="A24" s="60">
        <v>17</v>
      </c>
      <c r="B24" s="70" t="s">
        <v>544</v>
      </c>
      <c r="C24" s="62"/>
      <c r="D24" s="61" t="s">
        <v>277</v>
      </c>
      <c r="E24" s="112">
        <v>30820</v>
      </c>
      <c r="F24" s="117" t="s">
        <v>270</v>
      </c>
      <c r="G24" s="118" t="s">
        <v>494</v>
      </c>
      <c r="H24" s="110" t="s">
        <v>587</v>
      </c>
      <c r="I24" s="66"/>
      <c r="J24" s="66"/>
      <c r="K24" s="67"/>
      <c r="L24" s="67" t="s">
        <v>334</v>
      </c>
      <c r="M24" s="109" t="s">
        <v>557</v>
      </c>
      <c r="N24" s="68" t="s">
        <v>335</v>
      </c>
    </row>
    <row r="25" spans="1:14" s="55" customFormat="1" ht="24.95" customHeight="1" x14ac:dyDescent="0.2">
      <c r="A25" s="60">
        <v>18</v>
      </c>
      <c r="B25" s="70" t="s">
        <v>541</v>
      </c>
      <c r="C25" s="62"/>
      <c r="D25" s="61" t="s">
        <v>277</v>
      </c>
      <c r="E25" s="112">
        <v>28935</v>
      </c>
      <c r="F25" s="117" t="s">
        <v>270</v>
      </c>
      <c r="G25" s="118" t="s">
        <v>498</v>
      </c>
      <c r="H25" s="110"/>
      <c r="I25" s="66"/>
      <c r="J25" s="66"/>
      <c r="K25" s="67"/>
      <c r="L25" s="67" t="s">
        <v>334</v>
      </c>
      <c r="M25" s="109" t="s">
        <v>557</v>
      </c>
      <c r="N25" s="68" t="s">
        <v>335</v>
      </c>
    </row>
    <row r="26" spans="1:14" s="55" customFormat="1" ht="24.95" customHeight="1" x14ac:dyDescent="0.2">
      <c r="A26" s="60">
        <v>19</v>
      </c>
      <c r="B26" s="61" t="s">
        <v>556</v>
      </c>
      <c r="C26" s="62"/>
      <c r="D26" s="61" t="s">
        <v>277</v>
      </c>
      <c r="E26" s="112">
        <v>29351</v>
      </c>
      <c r="F26" s="117" t="s">
        <v>270</v>
      </c>
      <c r="G26" s="115" t="s">
        <v>575</v>
      </c>
      <c r="H26" s="111" t="s">
        <v>562</v>
      </c>
      <c r="I26" s="66"/>
      <c r="J26" s="66"/>
      <c r="K26" s="67"/>
      <c r="L26" s="67" t="s">
        <v>273</v>
      </c>
      <c r="M26" s="109" t="s">
        <v>557</v>
      </c>
      <c r="N26" s="68" t="s">
        <v>315</v>
      </c>
    </row>
    <row r="27" spans="1:14" s="55" customFormat="1" ht="24.95" customHeight="1" x14ac:dyDescent="0.2">
      <c r="A27" s="60">
        <v>20</v>
      </c>
      <c r="B27" s="70" t="s">
        <v>423</v>
      </c>
      <c r="C27" s="62"/>
      <c r="D27" s="61" t="s">
        <v>277</v>
      </c>
      <c r="E27" s="112">
        <v>27786</v>
      </c>
      <c r="F27" s="117" t="s">
        <v>270</v>
      </c>
      <c r="G27" s="118" t="s">
        <v>497</v>
      </c>
      <c r="H27" s="110" t="s">
        <v>497</v>
      </c>
      <c r="I27" s="66"/>
      <c r="J27" s="66"/>
      <c r="K27" s="67"/>
      <c r="L27" s="67" t="s">
        <v>334</v>
      </c>
      <c r="M27" s="109" t="s">
        <v>557</v>
      </c>
      <c r="N27" s="68" t="s">
        <v>335</v>
      </c>
    </row>
    <row r="28" spans="1:14" s="55" customFormat="1" ht="24.95" customHeight="1" x14ac:dyDescent="0.2">
      <c r="A28" s="60">
        <v>21</v>
      </c>
      <c r="B28" s="70" t="s">
        <v>548</v>
      </c>
      <c r="C28" s="62"/>
      <c r="D28" s="61" t="s">
        <v>277</v>
      </c>
      <c r="E28" s="112">
        <v>33346</v>
      </c>
      <c r="F28" s="117" t="s">
        <v>270</v>
      </c>
      <c r="G28" s="115" t="s">
        <v>560</v>
      </c>
      <c r="H28" s="111" t="s">
        <v>563</v>
      </c>
      <c r="I28" s="66"/>
      <c r="J28" s="66"/>
      <c r="K28" s="67"/>
      <c r="L28" s="67" t="s">
        <v>273</v>
      </c>
      <c r="M28" s="109" t="s">
        <v>291</v>
      </c>
      <c r="N28" s="68" t="s">
        <v>315</v>
      </c>
    </row>
    <row r="29" spans="1:14" s="55" customFormat="1" ht="24.95" customHeight="1" x14ac:dyDescent="0.2">
      <c r="A29" s="60">
        <v>22</v>
      </c>
      <c r="B29" s="71" t="s">
        <v>550</v>
      </c>
      <c r="C29" s="72"/>
      <c r="D29" s="61" t="s">
        <v>277</v>
      </c>
      <c r="E29" s="112">
        <v>30765</v>
      </c>
      <c r="F29" s="117" t="s">
        <v>288</v>
      </c>
      <c r="G29" s="115" t="s">
        <v>565</v>
      </c>
      <c r="H29" s="111" t="s">
        <v>562</v>
      </c>
      <c r="I29" s="66"/>
      <c r="J29" s="66"/>
      <c r="K29" s="67"/>
      <c r="L29" s="67" t="s">
        <v>273</v>
      </c>
      <c r="M29" s="109" t="s">
        <v>557</v>
      </c>
      <c r="N29" s="68" t="s">
        <v>315</v>
      </c>
    </row>
    <row r="30" spans="1:14" s="55" customFormat="1" ht="24.95" customHeight="1" x14ac:dyDescent="0.2">
      <c r="A30" s="60">
        <v>23</v>
      </c>
      <c r="B30" s="70" t="s">
        <v>551</v>
      </c>
      <c r="C30" s="62"/>
      <c r="D30" s="61" t="s">
        <v>269</v>
      </c>
      <c r="E30" s="112">
        <v>32932</v>
      </c>
      <c r="F30" s="117" t="s">
        <v>270</v>
      </c>
      <c r="G30" s="115" t="s">
        <v>565</v>
      </c>
      <c r="H30" s="111" t="s">
        <v>567</v>
      </c>
      <c r="I30" s="66"/>
      <c r="J30" s="66"/>
      <c r="K30" s="67"/>
      <c r="L30" s="67" t="s">
        <v>273</v>
      </c>
      <c r="M30" s="109" t="s">
        <v>557</v>
      </c>
      <c r="N30" s="68" t="s">
        <v>315</v>
      </c>
    </row>
    <row r="31" spans="1:14" s="55" customFormat="1" ht="24.95" customHeight="1" x14ac:dyDescent="0.2">
      <c r="A31" s="60">
        <v>24</v>
      </c>
      <c r="B31" s="61" t="s">
        <v>554</v>
      </c>
      <c r="C31" s="62"/>
      <c r="D31" s="61" t="s">
        <v>277</v>
      </c>
      <c r="E31" s="112">
        <v>35109</v>
      </c>
      <c r="F31" s="117" t="s">
        <v>288</v>
      </c>
      <c r="G31" s="115" t="s">
        <v>565</v>
      </c>
      <c r="H31" s="111" t="s">
        <v>574</v>
      </c>
      <c r="I31" s="66"/>
      <c r="J31" s="66"/>
      <c r="K31" s="67"/>
      <c r="L31" s="67" t="s">
        <v>273</v>
      </c>
      <c r="M31" s="109" t="s">
        <v>557</v>
      </c>
      <c r="N31" s="68" t="s">
        <v>315</v>
      </c>
    </row>
    <row r="32" spans="1:14" s="55" customFormat="1" ht="24.95" customHeight="1" x14ac:dyDescent="0.2">
      <c r="A32" s="60">
        <v>25</v>
      </c>
      <c r="B32" s="70" t="s">
        <v>536</v>
      </c>
      <c r="C32" s="62"/>
      <c r="D32" s="61" t="s">
        <v>277</v>
      </c>
      <c r="E32" s="112">
        <v>31997</v>
      </c>
      <c r="F32" s="117" t="s">
        <v>270</v>
      </c>
      <c r="G32" s="116" t="s">
        <v>61</v>
      </c>
      <c r="H32" s="110" t="s">
        <v>585</v>
      </c>
      <c r="I32" s="66"/>
      <c r="J32" s="66"/>
      <c r="K32" s="67"/>
      <c r="L32" s="67" t="s">
        <v>334</v>
      </c>
      <c r="M32" s="109" t="s">
        <v>557</v>
      </c>
      <c r="N32" s="68" t="s">
        <v>335</v>
      </c>
    </row>
    <row r="33" spans="1:14" s="55" customFormat="1" ht="24.95" customHeight="1" x14ac:dyDescent="0.2">
      <c r="A33" s="60">
        <v>26</v>
      </c>
      <c r="B33" s="70" t="s">
        <v>537</v>
      </c>
      <c r="C33" s="62"/>
      <c r="D33" s="61" t="s">
        <v>277</v>
      </c>
      <c r="E33" s="112">
        <v>35216</v>
      </c>
      <c r="F33" s="117" t="s">
        <v>270</v>
      </c>
      <c r="G33" s="116" t="s">
        <v>61</v>
      </c>
      <c r="H33" s="110" t="s">
        <v>580</v>
      </c>
      <c r="I33" s="66"/>
      <c r="J33" s="66"/>
      <c r="K33" s="67"/>
      <c r="L33" s="67" t="s">
        <v>334</v>
      </c>
      <c r="M33" s="109" t="s">
        <v>557</v>
      </c>
      <c r="N33" s="68" t="s">
        <v>335</v>
      </c>
    </row>
    <row r="34" spans="1:14" s="55" customFormat="1" ht="24.95" customHeight="1" x14ac:dyDescent="0.2">
      <c r="A34" s="60">
        <v>27</v>
      </c>
      <c r="B34" s="70" t="s">
        <v>549</v>
      </c>
      <c r="C34" s="62"/>
      <c r="D34" s="61" t="s">
        <v>277</v>
      </c>
      <c r="E34" s="112">
        <v>29161</v>
      </c>
      <c r="F34" s="117" t="s">
        <v>288</v>
      </c>
      <c r="G34" s="119" t="s">
        <v>560</v>
      </c>
      <c r="H34" s="111" t="s">
        <v>564</v>
      </c>
      <c r="I34" s="66"/>
      <c r="J34" s="66"/>
      <c r="K34" s="67"/>
      <c r="L34" s="67" t="s">
        <v>273</v>
      </c>
      <c r="M34" s="109" t="s">
        <v>557</v>
      </c>
      <c r="N34" s="68" t="s">
        <v>315</v>
      </c>
    </row>
    <row r="35" spans="1:14" s="55" customFormat="1" ht="24.95" customHeight="1" x14ac:dyDescent="0.2">
      <c r="A35" s="60">
        <v>28</v>
      </c>
      <c r="B35" s="61" t="s">
        <v>516</v>
      </c>
      <c r="C35" s="62"/>
      <c r="D35" s="61" t="s">
        <v>277</v>
      </c>
      <c r="E35" s="112">
        <v>34549</v>
      </c>
      <c r="F35" s="117" t="s">
        <v>288</v>
      </c>
      <c r="G35" s="119" t="s">
        <v>59</v>
      </c>
      <c r="H35" s="111" t="s">
        <v>572</v>
      </c>
      <c r="I35" s="66"/>
      <c r="J35" s="66"/>
      <c r="K35" s="67"/>
      <c r="L35" s="67" t="s">
        <v>273</v>
      </c>
      <c r="M35" s="109" t="s">
        <v>557</v>
      </c>
      <c r="N35" s="68" t="s">
        <v>315</v>
      </c>
    </row>
    <row r="36" spans="1:14" s="55" customFormat="1" ht="24.95" customHeight="1" x14ac:dyDescent="0.2">
      <c r="A36" s="60">
        <v>29</v>
      </c>
      <c r="B36" s="61" t="s">
        <v>513</v>
      </c>
      <c r="C36" s="62"/>
      <c r="D36" s="61" t="s">
        <v>277</v>
      </c>
      <c r="E36" s="112">
        <v>31111</v>
      </c>
      <c r="F36" s="117" t="s">
        <v>270</v>
      </c>
      <c r="G36" s="119" t="s">
        <v>560</v>
      </c>
      <c r="H36" s="111" t="s">
        <v>566</v>
      </c>
      <c r="I36" s="66"/>
      <c r="J36" s="66"/>
      <c r="K36" s="67"/>
      <c r="L36" s="67" t="s">
        <v>273</v>
      </c>
      <c r="M36" s="109" t="s">
        <v>274</v>
      </c>
      <c r="N36" s="68" t="s">
        <v>315</v>
      </c>
    </row>
    <row r="37" spans="1:14" s="55" customFormat="1" ht="24.95" customHeight="1" x14ac:dyDescent="0.2">
      <c r="A37" s="60">
        <v>30</v>
      </c>
      <c r="B37" s="71" t="s">
        <v>552</v>
      </c>
      <c r="C37" s="72"/>
      <c r="D37" s="61" t="s">
        <v>277</v>
      </c>
      <c r="E37" s="112">
        <v>30479</v>
      </c>
      <c r="F37" s="117" t="s">
        <v>270</v>
      </c>
      <c r="G37" s="119" t="s">
        <v>560</v>
      </c>
      <c r="H37" s="111" t="s">
        <v>568</v>
      </c>
      <c r="I37" s="66"/>
      <c r="J37" s="66"/>
      <c r="K37" s="67"/>
      <c r="L37" s="67" t="s">
        <v>273</v>
      </c>
      <c r="M37" s="109" t="s">
        <v>557</v>
      </c>
      <c r="N37" s="68" t="s">
        <v>315</v>
      </c>
    </row>
    <row r="38" spans="1:14" s="55" customFormat="1" ht="24.95" customHeight="1" x14ac:dyDescent="0.2">
      <c r="A38" s="60">
        <v>31</v>
      </c>
      <c r="B38" s="70" t="s">
        <v>542</v>
      </c>
      <c r="C38" s="62"/>
      <c r="D38" s="61" t="s">
        <v>277</v>
      </c>
      <c r="E38" s="112">
        <v>27979</v>
      </c>
      <c r="F38" s="117" t="s">
        <v>270</v>
      </c>
      <c r="G38" s="116" t="s">
        <v>584</v>
      </c>
      <c r="H38" s="110" t="s">
        <v>585</v>
      </c>
      <c r="I38" s="66"/>
      <c r="J38" s="66"/>
      <c r="K38" s="67"/>
      <c r="L38" s="67" t="s">
        <v>334</v>
      </c>
      <c r="M38" s="109" t="s">
        <v>557</v>
      </c>
      <c r="N38" s="68" t="s">
        <v>335</v>
      </c>
    </row>
    <row r="39" spans="1:14" s="55" customFormat="1" ht="24.95" customHeight="1" x14ac:dyDescent="0.2">
      <c r="A39" s="60">
        <v>32</v>
      </c>
      <c r="B39" s="70" t="s">
        <v>424</v>
      </c>
      <c r="C39" s="62"/>
      <c r="D39" s="61" t="s">
        <v>277</v>
      </c>
      <c r="E39" s="112">
        <v>27506</v>
      </c>
      <c r="F39" s="117" t="s">
        <v>288</v>
      </c>
      <c r="G39" s="116" t="s">
        <v>591</v>
      </c>
      <c r="H39" s="110" t="s">
        <v>585</v>
      </c>
      <c r="I39" s="66"/>
      <c r="J39" s="66"/>
      <c r="K39" s="67"/>
      <c r="L39" s="67" t="s">
        <v>334</v>
      </c>
      <c r="M39" s="109" t="s">
        <v>557</v>
      </c>
      <c r="N39" s="68" t="s">
        <v>335</v>
      </c>
    </row>
    <row r="40" spans="1:14" s="55" customFormat="1" ht="24.95" customHeight="1" x14ac:dyDescent="0.2">
      <c r="A40" s="60">
        <v>33</v>
      </c>
      <c r="B40" s="70" t="s">
        <v>526</v>
      </c>
      <c r="C40" s="62"/>
      <c r="D40" s="61" t="s">
        <v>277</v>
      </c>
      <c r="E40" s="112">
        <v>32948</v>
      </c>
      <c r="F40" s="117" t="s">
        <v>270</v>
      </c>
      <c r="G40" s="116" t="s">
        <v>494</v>
      </c>
      <c r="H40" s="110"/>
      <c r="I40" s="66"/>
      <c r="J40" s="66"/>
      <c r="K40" s="67"/>
      <c r="L40" s="67" t="s">
        <v>334</v>
      </c>
      <c r="M40" s="109" t="s">
        <v>559</v>
      </c>
      <c r="N40" s="68" t="s">
        <v>335</v>
      </c>
    </row>
    <row r="41" spans="1:14" s="55" customFormat="1" ht="24.95" customHeight="1" x14ac:dyDescent="0.2">
      <c r="A41" s="60">
        <v>34</v>
      </c>
      <c r="B41" s="70" t="s">
        <v>521</v>
      </c>
      <c r="C41" s="62"/>
      <c r="D41" s="61" t="s">
        <v>277</v>
      </c>
      <c r="E41" s="112">
        <v>35140</v>
      </c>
      <c r="F41" s="117" t="s">
        <v>270</v>
      </c>
      <c r="G41" s="116" t="s">
        <v>61</v>
      </c>
      <c r="H41" s="110" t="s">
        <v>580</v>
      </c>
      <c r="I41" s="66"/>
      <c r="J41" s="66"/>
      <c r="K41" s="67"/>
      <c r="L41" s="67" t="s">
        <v>334</v>
      </c>
      <c r="M41" s="109" t="s">
        <v>557</v>
      </c>
      <c r="N41" s="68" t="s">
        <v>335</v>
      </c>
    </row>
    <row r="42" spans="1:14" s="55" customFormat="1" ht="24.95" customHeight="1" x14ac:dyDescent="0.2">
      <c r="A42" s="60">
        <v>35</v>
      </c>
      <c r="B42" s="70" t="s">
        <v>520</v>
      </c>
      <c r="C42" s="62"/>
      <c r="D42" s="61" t="s">
        <v>277</v>
      </c>
      <c r="E42" s="112">
        <v>37056</v>
      </c>
      <c r="F42" s="117" t="s">
        <v>270</v>
      </c>
      <c r="G42" s="116" t="s">
        <v>578</v>
      </c>
      <c r="H42" s="110" t="s">
        <v>579</v>
      </c>
      <c r="I42" s="66"/>
      <c r="J42" s="66"/>
      <c r="K42" s="67"/>
      <c r="L42" s="67" t="s">
        <v>334</v>
      </c>
      <c r="M42" s="109" t="s">
        <v>557</v>
      </c>
      <c r="N42" s="68" t="s">
        <v>335</v>
      </c>
    </row>
    <row r="43" spans="1:14" s="55" customFormat="1" ht="24.95" customHeight="1" x14ac:dyDescent="0.2">
      <c r="A43" s="60">
        <v>36</v>
      </c>
      <c r="B43" s="61" t="s">
        <v>514</v>
      </c>
      <c r="C43" s="62"/>
      <c r="D43" s="61" t="s">
        <v>277</v>
      </c>
      <c r="E43" s="112">
        <v>31995</v>
      </c>
      <c r="F43" s="117" t="s">
        <v>270</v>
      </c>
      <c r="G43" s="119" t="s">
        <v>565</v>
      </c>
      <c r="H43" s="111" t="s">
        <v>569</v>
      </c>
      <c r="I43" s="66"/>
      <c r="J43" s="66"/>
      <c r="K43" s="67"/>
      <c r="L43" s="67" t="s">
        <v>273</v>
      </c>
      <c r="M43" s="109" t="s">
        <v>557</v>
      </c>
      <c r="N43" s="68" t="s">
        <v>315</v>
      </c>
    </row>
    <row r="44" spans="1:14" s="55" customFormat="1" ht="24.95" customHeight="1" x14ac:dyDescent="0.2">
      <c r="A44" s="60">
        <v>37</v>
      </c>
      <c r="B44" s="61" t="s">
        <v>425</v>
      </c>
      <c r="C44" s="62"/>
      <c r="D44" s="61" t="s">
        <v>277</v>
      </c>
      <c r="E44" s="112">
        <v>30060</v>
      </c>
      <c r="F44" s="117" t="s">
        <v>270</v>
      </c>
      <c r="G44" s="119" t="s">
        <v>59</v>
      </c>
      <c r="H44" s="111" t="s">
        <v>562</v>
      </c>
      <c r="I44" s="66"/>
      <c r="J44" s="66"/>
      <c r="K44" s="67"/>
      <c r="L44" s="67" t="s">
        <v>273</v>
      </c>
      <c r="M44" s="109" t="s">
        <v>557</v>
      </c>
      <c r="N44" s="68" t="s">
        <v>315</v>
      </c>
    </row>
    <row r="45" spans="1:14" s="55" customFormat="1" ht="24.95" customHeight="1" x14ac:dyDescent="0.2">
      <c r="A45" s="60">
        <v>38</v>
      </c>
      <c r="B45" s="61" t="s">
        <v>517</v>
      </c>
      <c r="C45" s="62"/>
      <c r="D45" s="61" t="s">
        <v>277</v>
      </c>
      <c r="E45" s="112">
        <v>35312</v>
      </c>
      <c r="F45" s="117" t="s">
        <v>288</v>
      </c>
      <c r="G45" s="119" t="s">
        <v>560</v>
      </c>
      <c r="H45" s="111" t="s">
        <v>573</v>
      </c>
      <c r="I45" s="66"/>
      <c r="J45" s="66"/>
      <c r="K45" s="67"/>
      <c r="L45" s="67" t="s">
        <v>273</v>
      </c>
      <c r="M45" s="109" t="s">
        <v>557</v>
      </c>
      <c r="N45" s="68" t="s">
        <v>315</v>
      </c>
    </row>
    <row r="46" spans="1:14" s="55" customFormat="1" ht="24.95" customHeight="1" x14ac:dyDescent="0.2">
      <c r="A46" s="60">
        <v>39</v>
      </c>
      <c r="B46" s="61" t="s">
        <v>515</v>
      </c>
      <c r="C46" s="62"/>
      <c r="D46" s="61" t="s">
        <v>277</v>
      </c>
      <c r="E46" s="112">
        <v>36098</v>
      </c>
      <c r="F46" s="117" t="s">
        <v>288</v>
      </c>
      <c r="G46" s="119" t="s">
        <v>565</v>
      </c>
      <c r="H46" s="111" t="s">
        <v>570</v>
      </c>
      <c r="I46" s="66"/>
      <c r="J46" s="66"/>
      <c r="K46" s="67"/>
      <c r="L46" s="67" t="s">
        <v>273</v>
      </c>
      <c r="M46" s="109" t="s">
        <v>557</v>
      </c>
      <c r="N46" s="68" t="s">
        <v>315</v>
      </c>
    </row>
    <row r="47" spans="1:14" s="55" customFormat="1" ht="24.95" customHeight="1" x14ac:dyDescent="0.2">
      <c r="A47" s="60">
        <v>40</v>
      </c>
      <c r="B47" s="70" t="s">
        <v>426</v>
      </c>
      <c r="C47" s="62"/>
      <c r="D47" s="61" t="s">
        <v>427</v>
      </c>
      <c r="E47" s="112">
        <v>31206</v>
      </c>
      <c r="F47" s="117" t="s">
        <v>270</v>
      </c>
      <c r="G47" s="116" t="s">
        <v>494</v>
      </c>
      <c r="H47" s="110" t="s">
        <v>587</v>
      </c>
      <c r="I47" s="66"/>
      <c r="J47" s="66"/>
      <c r="K47" s="67"/>
      <c r="L47" s="67" t="s">
        <v>334</v>
      </c>
      <c r="M47" s="109" t="s">
        <v>557</v>
      </c>
      <c r="N47" s="68" t="s">
        <v>335</v>
      </c>
    </row>
    <row r="48" spans="1:14" s="55" customFormat="1" ht="24.95" customHeight="1" x14ac:dyDescent="0.2">
      <c r="A48" s="60">
        <v>41</v>
      </c>
      <c r="B48" s="70" t="s">
        <v>428</v>
      </c>
      <c r="C48" s="62"/>
      <c r="D48" s="61" t="s">
        <v>277</v>
      </c>
      <c r="E48" s="112">
        <v>26129</v>
      </c>
      <c r="F48" s="117" t="s">
        <v>270</v>
      </c>
      <c r="G48" s="116" t="s">
        <v>61</v>
      </c>
      <c r="H48" s="110" t="s">
        <v>61</v>
      </c>
      <c r="I48" s="66"/>
      <c r="J48" s="66"/>
      <c r="K48" s="67"/>
      <c r="L48" s="67" t="s">
        <v>334</v>
      </c>
      <c r="M48" s="109" t="s">
        <v>557</v>
      </c>
      <c r="N48" s="68" t="s">
        <v>335</v>
      </c>
    </row>
    <row r="49" spans="1:14" s="55" customFormat="1" ht="24.95" customHeight="1" x14ac:dyDescent="0.2">
      <c r="A49" s="60">
        <v>42</v>
      </c>
      <c r="B49" s="70" t="s">
        <v>523</v>
      </c>
      <c r="C49" s="62"/>
      <c r="D49" s="61" t="s">
        <v>277</v>
      </c>
      <c r="E49" s="112">
        <v>32978</v>
      </c>
      <c r="F49" s="117" t="s">
        <v>270</v>
      </c>
      <c r="G49" s="116" t="s">
        <v>582</v>
      </c>
      <c r="H49" s="110" t="s">
        <v>583</v>
      </c>
      <c r="I49" s="66"/>
      <c r="J49" s="66"/>
      <c r="K49" s="67"/>
      <c r="L49" s="67" t="s">
        <v>334</v>
      </c>
      <c r="M49" s="109" t="s">
        <v>280</v>
      </c>
      <c r="N49" s="68" t="s">
        <v>335</v>
      </c>
    </row>
    <row r="50" spans="1:14" s="55" customFormat="1" ht="24.95" customHeight="1" x14ac:dyDescent="0.2">
      <c r="A50" s="60">
        <v>43</v>
      </c>
      <c r="B50" s="70" t="s">
        <v>543</v>
      </c>
      <c r="C50" s="62"/>
      <c r="D50" s="61" t="s">
        <v>269</v>
      </c>
      <c r="E50" s="112">
        <v>29830</v>
      </c>
      <c r="F50" s="117" t="s">
        <v>270</v>
      </c>
      <c r="G50" s="116" t="s">
        <v>494</v>
      </c>
      <c r="H50" s="110" t="s">
        <v>594</v>
      </c>
      <c r="I50" s="66"/>
      <c r="J50" s="66"/>
      <c r="K50" s="67"/>
      <c r="L50" s="67" t="s">
        <v>334</v>
      </c>
      <c r="M50" s="109" t="s">
        <v>557</v>
      </c>
      <c r="N50" s="68" t="s">
        <v>335</v>
      </c>
    </row>
    <row r="51" spans="1:14" s="55" customFormat="1" ht="24.95" customHeight="1" x14ac:dyDescent="0.2">
      <c r="A51" s="60">
        <v>44</v>
      </c>
      <c r="B51" s="70" t="s">
        <v>429</v>
      </c>
      <c r="C51" s="62"/>
      <c r="D51" s="61" t="s">
        <v>277</v>
      </c>
      <c r="E51" s="112">
        <v>30737</v>
      </c>
      <c r="F51" s="117" t="s">
        <v>270</v>
      </c>
      <c r="G51" s="116" t="s">
        <v>496</v>
      </c>
      <c r="H51" s="110" t="s">
        <v>580</v>
      </c>
      <c r="I51" s="66"/>
      <c r="J51" s="66"/>
      <c r="K51" s="67"/>
      <c r="L51" s="67" t="s">
        <v>334</v>
      </c>
      <c r="M51" s="109" t="s">
        <v>557</v>
      </c>
      <c r="N51" s="68" t="s">
        <v>335</v>
      </c>
    </row>
    <row r="52" spans="1:14" s="55" customFormat="1" ht="24.95" customHeight="1" x14ac:dyDescent="0.2">
      <c r="A52" s="60">
        <v>45</v>
      </c>
      <c r="B52" s="70" t="s">
        <v>538</v>
      </c>
      <c r="C52" s="62"/>
      <c r="D52" s="61" t="s">
        <v>277</v>
      </c>
      <c r="E52" s="112">
        <v>35347</v>
      </c>
      <c r="F52" s="117" t="s">
        <v>270</v>
      </c>
      <c r="G52" s="116" t="s">
        <v>494</v>
      </c>
      <c r="H52" s="110" t="s">
        <v>590</v>
      </c>
      <c r="I52" s="66"/>
      <c r="J52" s="66"/>
      <c r="K52" s="67"/>
      <c r="L52" s="67" t="s">
        <v>334</v>
      </c>
      <c r="M52" s="109" t="s">
        <v>557</v>
      </c>
      <c r="N52" s="68" t="s">
        <v>335</v>
      </c>
    </row>
    <row r="53" spans="1:14" s="55" customFormat="1" ht="24.95" customHeight="1" x14ac:dyDescent="0.2">
      <c r="A53" s="60">
        <v>46</v>
      </c>
      <c r="B53" s="70" t="s">
        <v>535</v>
      </c>
      <c r="C53" s="62"/>
      <c r="D53" s="61" t="s">
        <v>277</v>
      </c>
      <c r="E53" s="112">
        <v>34594</v>
      </c>
      <c r="F53" s="117" t="s">
        <v>288</v>
      </c>
      <c r="G53" s="116" t="s">
        <v>61</v>
      </c>
      <c r="H53" s="110"/>
      <c r="I53" s="66"/>
      <c r="J53" s="66"/>
      <c r="K53" s="67"/>
      <c r="L53" s="67" t="s">
        <v>334</v>
      </c>
      <c r="M53" s="109" t="s">
        <v>557</v>
      </c>
      <c r="N53" s="68" t="s">
        <v>335</v>
      </c>
    </row>
    <row r="54" spans="1:14" s="55" customFormat="1" ht="24.95" customHeight="1" x14ac:dyDescent="0.2">
      <c r="A54" s="60">
        <v>47</v>
      </c>
      <c r="B54" s="70" t="s">
        <v>430</v>
      </c>
      <c r="C54" s="62"/>
      <c r="D54" s="61" t="s">
        <v>277</v>
      </c>
      <c r="E54" s="112">
        <v>29460</v>
      </c>
      <c r="F54" s="117" t="s">
        <v>288</v>
      </c>
      <c r="G54" s="116" t="s">
        <v>73</v>
      </c>
      <c r="H54" s="110"/>
      <c r="I54" s="66"/>
      <c r="J54" s="66"/>
      <c r="K54" s="67"/>
      <c r="L54" s="67" t="s">
        <v>334</v>
      </c>
      <c r="M54" s="109" t="s">
        <v>557</v>
      </c>
      <c r="N54" s="68" t="s">
        <v>335</v>
      </c>
    </row>
    <row r="55" spans="1:14" s="55" customFormat="1" ht="24.95" customHeight="1" x14ac:dyDescent="0.2">
      <c r="A55" s="60">
        <v>48</v>
      </c>
      <c r="B55" s="70" t="s">
        <v>528</v>
      </c>
      <c r="C55" s="62"/>
      <c r="D55" s="61" t="s">
        <v>277</v>
      </c>
      <c r="E55" s="112">
        <v>34881</v>
      </c>
      <c r="F55" s="117" t="s">
        <v>288</v>
      </c>
      <c r="G55" s="116" t="s">
        <v>61</v>
      </c>
      <c r="H55" s="110"/>
      <c r="I55" s="66"/>
      <c r="J55" s="66"/>
      <c r="K55" s="67"/>
      <c r="L55" s="67" t="s">
        <v>334</v>
      </c>
      <c r="M55" s="109" t="s">
        <v>557</v>
      </c>
      <c r="N55" s="68" t="s">
        <v>335</v>
      </c>
    </row>
    <row r="56" spans="1:14" s="55" customFormat="1" ht="24.95" customHeight="1" x14ac:dyDescent="0.2">
      <c r="A56" s="60">
        <v>49</v>
      </c>
      <c r="B56" s="70" t="s">
        <v>539</v>
      </c>
      <c r="C56" s="62"/>
      <c r="D56" s="61" t="s">
        <v>277</v>
      </c>
      <c r="E56" s="112">
        <v>32945</v>
      </c>
      <c r="F56" s="117" t="s">
        <v>270</v>
      </c>
      <c r="G56" s="116" t="s">
        <v>61</v>
      </c>
      <c r="H56" s="110" t="s">
        <v>61</v>
      </c>
      <c r="I56" s="66"/>
      <c r="J56" s="66"/>
      <c r="K56" s="67"/>
      <c r="L56" s="67" t="s">
        <v>334</v>
      </c>
      <c r="M56" s="109" t="s">
        <v>557</v>
      </c>
      <c r="N56" s="68" t="s">
        <v>335</v>
      </c>
    </row>
    <row r="57" spans="1:14" s="55" customFormat="1" ht="24.95" customHeight="1" x14ac:dyDescent="0.2">
      <c r="A57" s="60">
        <v>50</v>
      </c>
      <c r="B57" s="61" t="s">
        <v>431</v>
      </c>
      <c r="C57" s="62"/>
      <c r="D57" s="61" t="s">
        <v>277</v>
      </c>
      <c r="E57" s="112">
        <v>26696</v>
      </c>
      <c r="F57" s="117" t="s">
        <v>270</v>
      </c>
      <c r="G57" s="119" t="s">
        <v>576</v>
      </c>
      <c r="H57" s="111" t="s">
        <v>562</v>
      </c>
      <c r="I57" s="66"/>
      <c r="J57" s="66"/>
      <c r="K57" s="67"/>
      <c r="L57" s="67" t="s">
        <v>273</v>
      </c>
      <c r="M57" s="109" t="s">
        <v>557</v>
      </c>
      <c r="N57" s="68" t="s">
        <v>315</v>
      </c>
    </row>
    <row r="58" spans="1:14" s="55" customFormat="1" ht="24.95" customHeight="1" x14ac:dyDescent="0.2">
      <c r="A58" s="60">
        <v>51</v>
      </c>
      <c r="B58" s="61" t="s">
        <v>547</v>
      </c>
      <c r="C58" s="62"/>
      <c r="D58" s="61" t="s">
        <v>277</v>
      </c>
      <c r="E58" s="112">
        <v>32641</v>
      </c>
      <c r="F58" s="117" t="s">
        <v>270</v>
      </c>
      <c r="G58" s="119" t="s">
        <v>560</v>
      </c>
      <c r="H58" s="111" t="s">
        <v>562</v>
      </c>
      <c r="I58" s="66"/>
      <c r="J58" s="66"/>
      <c r="K58" s="67"/>
      <c r="L58" s="67" t="s">
        <v>273</v>
      </c>
      <c r="M58" s="109" t="s">
        <v>559</v>
      </c>
      <c r="N58" s="68" t="s">
        <v>315</v>
      </c>
    </row>
    <row r="59" spans="1:14" s="55" customFormat="1" ht="24.95" customHeight="1" x14ac:dyDescent="0.2">
      <c r="A59" s="60">
        <v>52</v>
      </c>
      <c r="B59" s="70" t="s">
        <v>534</v>
      </c>
      <c r="C59" s="62"/>
      <c r="D59" s="61" t="s">
        <v>277</v>
      </c>
      <c r="E59" s="112">
        <v>34574</v>
      </c>
      <c r="F59" s="117" t="s">
        <v>288</v>
      </c>
      <c r="G59" s="116" t="s">
        <v>494</v>
      </c>
      <c r="H59" s="110"/>
      <c r="I59" s="66"/>
      <c r="J59" s="66"/>
      <c r="K59" s="67"/>
      <c r="L59" s="67" t="s">
        <v>334</v>
      </c>
      <c r="M59" s="109" t="s">
        <v>557</v>
      </c>
      <c r="N59" s="68" t="s">
        <v>335</v>
      </c>
    </row>
    <row r="60" spans="1:14" s="55" customFormat="1" ht="24.95" customHeight="1" x14ac:dyDescent="0.2">
      <c r="A60" s="60">
        <v>53</v>
      </c>
      <c r="B60" s="70" t="s">
        <v>545</v>
      </c>
      <c r="C60" s="62"/>
      <c r="D60" s="61" t="s">
        <v>277</v>
      </c>
      <c r="E60" s="112">
        <v>31584</v>
      </c>
      <c r="F60" s="117" t="s">
        <v>288</v>
      </c>
      <c r="G60" s="116" t="s">
        <v>61</v>
      </c>
      <c r="H60" s="110" t="s">
        <v>585</v>
      </c>
      <c r="I60" s="66"/>
      <c r="J60" s="66"/>
      <c r="K60" s="67"/>
      <c r="L60" s="67" t="s">
        <v>334</v>
      </c>
      <c r="M60" s="109" t="s">
        <v>557</v>
      </c>
      <c r="N60" s="68" t="s">
        <v>335</v>
      </c>
    </row>
    <row r="61" spans="1:14" s="55" customFormat="1" ht="24.95" customHeight="1" x14ac:dyDescent="0.2">
      <c r="A61" s="60">
        <v>54</v>
      </c>
      <c r="B61" s="70" t="s">
        <v>530</v>
      </c>
      <c r="C61" s="62"/>
      <c r="D61" s="61" t="s">
        <v>277</v>
      </c>
      <c r="E61" s="112">
        <v>31159</v>
      </c>
      <c r="F61" s="117" t="s">
        <v>288</v>
      </c>
      <c r="G61" s="116" t="s">
        <v>61</v>
      </c>
      <c r="H61" s="110"/>
      <c r="I61" s="66"/>
      <c r="J61" s="66"/>
      <c r="K61" s="67"/>
      <c r="L61" s="67" t="s">
        <v>334</v>
      </c>
      <c r="M61" s="109" t="s">
        <v>557</v>
      </c>
      <c r="N61" s="68" t="s">
        <v>335</v>
      </c>
    </row>
    <row r="62" spans="1:14" s="55" customFormat="1" ht="24.95" customHeight="1" x14ac:dyDescent="0.2">
      <c r="A62" s="60">
        <v>55</v>
      </c>
      <c r="B62" s="61" t="s">
        <v>553</v>
      </c>
      <c r="C62" s="62"/>
      <c r="D62" s="61" t="s">
        <v>277</v>
      </c>
      <c r="E62" s="112">
        <v>32735</v>
      </c>
      <c r="F62" s="117" t="s">
        <v>270</v>
      </c>
      <c r="G62" s="119" t="s">
        <v>565</v>
      </c>
      <c r="H62" s="111" t="s">
        <v>564</v>
      </c>
      <c r="I62" s="66"/>
      <c r="J62" s="66"/>
      <c r="K62" s="67"/>
      <c r="L62" s="67" t="s">
        <v>273</v>
      </c>
      <c r="M62" s="109" t="s">
        <v>558</v>
      </c>
      <c r="N62" s="68" t="s">
        <v>315</v>
      </c>
    </row>
    <row r="63" spans="1:14" s="55" customFormat="1" ht="24.95" customHeight="1" x14ac:dyDescent="0.2">
      <c r="A63" s="60">
        <v>56</v>
      </c>
      <c r="B63" s="70" t="s">
        <v>432</v>
      </c>
      <c r="C63" s="62"/>
      <c r="D63" s="61" t="s">
        <v>277</v>
      </c>
      <c r="E63" s="112">
        <v>29961</v>
      </c>
      <c r="F63" s="117" t="s">
        <v>270</v>
      </c>
      <c r="G63" s="116" t="s">
        <v>498</v>
      </c>
      <c r="H63" s="110" t="s">
        <v>585</v>
      </c>
      <c r="I63" s="66"/>
      <c r="J63" s="66"/>
      <c r="K63" s="67"/>
      <c r="L63" s="67" t="s">
        <v>334</v>
      </c>
      <c r="M63" s="109" t="s">
        <v>557</v>
      </c>
      <c r="N63" s="68" t="s">
        <v>335</v>
      </c>
    </row>
    <row r="64" spans="1:14" s="55" customFormat="1" ht="24.95" customHeight="1" x14ac:dyDescent="0.2">
      <c r="A64" s="60">
        <v>57</v>
      </c>
      <c r="B64" s="61" t="s">
        <v>555</v>
      </c>
      <c r="C64" s="62"/>
      <c r="D64" s="61" t="s">
        <v>277</v>
      </c>
      <c r="E64" s="112">
        <v>26182</v>
      </c>
      <c r="F64" s="117" t="s">
        <v>288</v>
      </c>
      <c r="G64" s="119" t="s">
        <v>565</v>
      </c>
      <c r="H64" s="111" t="s">
        <v>571</v>
      </c>
      <c r="I64" s="66"/>
      <c r="J64" s="66"/>
      <c r="K64" s="67"/>
      <c r="L64" s="67" t="s">
        <v>273</v>
      </c>
      <c r="M64" s="109" t="s">
        <v>291</v>
      </c>
      <c r="N64" s="68" t="s">
        <v>315</v>
      </c>
    </row>
    <row r="65" spans="1:14" s="55" customFormat="1" ht="24.95" customHeight="1" x14ac:dyDescent="0.2">
      <c r="A65" s="60">
        <v>58</v>
      </c>
      <c r="B65" s="70" t="s">
        <v>546</v>
      </c>
      <c r="C65" s="62"/>
      <c r="D65" s="61" t="s">
        <v>277</v>
      </c>
      <c r="E65" s="112">
        <v>27808</v>
      </c>
      <c r="F65" s="117" t="s">
        <v>270</v>
      </c>
      <c r="G65" s="116" t="s">
        <v>495</v>
      </c>
      <c r="H65" s="110" t="s">
        <v>585</v>
      </c>
      <c r="I65" s="66"/>
      <c r="J65" s="66"/>
      <c r="K65" s="67"/>
      <c r="L65" s="67" t="s">
        <v>334</v>
      </c>
      <c r="M65" s="109" t="s">
        <v>557</v>
      </c>
      <c r="N65" s="68" t="s">
        <v>335</v>
      </c>
    </row>
    <row r="66" spans="1:14" s="55" customFormat="1" ht="24.95" customHeight="1" x14ac:dyDescent="0.2">
      <c r="A66" s="60">
        <v>59</v>
      </c>
      <c r="B66" s="70" t="s">
        <v>433</v>
      </c>
      <c r="C66" s="62"/>
      <c r="D66" s="61" t="s">
        <v>277</v>
      </c>
      <c r="E66" s="112">
        <v>32571</v>
      </c>
      <c r="F66" s="117" t="s">
        <v>288</v>
      </c>
      <c r="G66" s="119" t="s">
        <v>565</v>
      </c>
      <c r="H66" s="111" t="s">
        <v>569</v>
      </c>
      <c r="I66" s="66"/>
      <c r="J66" s="66"/>
      <c r="K66" s="67"/>
      <c r="L66" s="67" t="s">
        <v>273</v>
      </c>
      <c r="M66" s="109" t="s">
        <v>291</v>
      </c>
      <c r="N66" s="68" t="s">
        <v>315</v>
      </c>
    </row>
    <row r="67" spans="1:14" s="55" customFormat="1" ht="24.95" customHeight="1" x14ac:dyDescent="0.2">
      <c r="A67" s="60">
        <v>60</v>
      </c>
      <c r="B67" s="70" t="s">
        <v>434</v>
      </c>
      <c r="C67" s="62"/>
      <c r="D67" s="61" t="s">
        <v>435</v>
      </c>
      <c r="E67" s="112">
        <v>31939</v>
      </c>
      <c r="F67" s="117" t="s">
        <v>288</v>
      </c>
      <c r="G67" s="116" t="s">
        <v>73</v>
      </c>
      <c r="H67" s="110"/>
      <c r="I67" s="66"/>
      <c r="J67" s="66"/>
      <c r="K67" s="67"/>
      <c r="L67" s="67" t="s">
        <v>334</v>
      </c>
      <c r="M67" s="109" t="s">
        <v>557</v>
      </c>
      <c r="N67" s="68" t="s">
        <v>335</v>
      </c>
    </row>
    <row r="68" spans="1:14" s="55" customFormat="1" ht="24.95" customHeight="1" x14ac:dyDescent="0.2">
      <c r="A68" s="60">
        <v>61</v>
      </c>
      <c r="B68" s="61" t="s">
        <v>519</v>
      </c>
      <c r="C68" s="62"/>
      <c r="D68" s="61" t="s">
        <v>277</v>
      </c>
      <c r="E68" s="112">
        <v>29663</v>
      </c>
      <c r="F68" s="117" t="s">
        <v>288</v>
      </c>
      <c r="G68" s="119" t="s">
        <v>565</v>
      </c>
      <c r="H68" s="111" t="s">
        <v>577</v>
      </c>
      <c r="I68" s="66"/>
      <c r="J68" s="66"/>
      <c r="K68" s="67"/>
      <c r="L68" s="67" t="s">
        <v>273</v>
      </c>
      <c r="M68" s="109" t="s">
        <v>557</v>
      </c>
      <c r="N68" s="68" t="s">
        <v>315</v>
      </c>
    </row>
    <row r="69" spans="1:14" s="55" customFormat="1" ht="24.95" customHeight="1" x14ac:dyDescent="0.2">
      <c r="A69" s="60">
        <v>62</v>
      </c>
      <c r="B69" s="70" t="s">
        <v>532</v>
      </c>
      <c r="C69" s="62"/>
      <c r="D69" s="61" t="s">
        <v>277</v>
      </c>
      <c r="E69" s="112">
        <v>32421</v>
      </c>
      <c r="F69" s="117" t="s">
        <v>270</v>
      </c>
      <c r="G69" s="116" t="s">
        <v>61</v>
      </c>
      <c r="H69" s="110"/>
      <c r="I69" s="66"/>
      <c r="J69" s="66"/>
      <c r="K69" s="67"/>
      <c r="L69" s="67" t="s">
        <v>334</v>
      </c>
      <c r="M69" s="109" t="s">
        <v>557</v>
      </c>
      <c r="N69" s="68" t="s">
        <v>335</v>
      </c>
    </row>
    <row r="70" spans="1:14" s="55" customFormat="1" ht="24.95" customHeight="1" x14ac:dyDescent="0.2">
      <c r="A70" s="60">
        <v>63</v>
      </c>
      <c r="B70" s="70" t="s">
        <v>527</v>
      </c>
      <c r="C70" s="62"/>
      <c r="D70" s="61" t="s">
        <v>277</v>
      </c>
      <c r="E70" s="112">
        <v>27079</v>
      </c>
      <c r="F70" s="117" t="s">
        <v>288</v>
      </c>
      <c r="G70" s="116" t="s">
        <v>61</v>
      </c>
      <c r="H70" s="110"/>
      <c r="I70" s="66"/>
      <c r="J70" s="66"/>
      <c r="K70" s="67"/>
      <c r="L70" s="67" t="s">
        <v>334</v>
      </c>
      <c r="M70" s="109" t="s">
        <v>557</v>
      </c>
      <c r="N70" s="68" t="s">
        <v>335</v>
      </c>
    </row>
    <row r="71" spans="1:14" s="55" customFormat="1" ht="24.95" customHeight="1" x14ac:dyDescent="0.2">
      <c r="A71" s="60">
        <v>64</v>
      </c>
      <c r="B71" s="70" t="s">
        <v>436</v>
      </c>
      <c r="C71" s="62"/>
      <c r="D71" s="61" t="s">
        <v>277</v>
      </c>
      <c r="E71" s="112">
        <v>30671</v>
      </c>
      <c r="F71" s="117" t="s">
        <v>270</v>
      </c>
      <c r="G71" s="116" t="s">
        <v>110</v>
      </c>
      <c r="H71" s="110" t="s">
        <v>580</v>
      </c>
      <c r="I71" s="66"/>
      <c r="J71" s="66"/>
      <c r="K71" s="67"/>
      <c r="L71" s="67" t="s">
        <v>334</v>
      </c>
      <c r="M71" s="109" t="s">
        <v>557</v>
      </c>
      <c r="N71" s="68" t="s">
        <v>335</v>
      </c>
    </row>
    <row r="72" spans="1:14" s="55" customFormat="1" ht="24.95" customHeight="1" x14ac:dyDescent="0.2">
      <c r="A72" s="60">
        <v>65</v>
      </c>
      <c r="B72" s="70" t="s">
        <v>437</v>
      </c>
      <c r="C72" s="62"/>
      <c r="D72" s="61" t="s">
        <v>269</v>
      </c>
      <c r="E72" s="112">
        <v>27134</v>
      </c>
      <c r="F72" s="117" t="s">
        <v>270</v>
      </c>
      <c r="G72" s="116" t="s">
        <v>62</v>
      </c>
      <c r="H72" s="110" t="s">
        <v>62</v>
      </c>
      <c r="I72" s="66"/>
      <c r="J72" s="66"/>
      <c r="K72" s="67"/>
      <c r="L72" s="67" t="s">
        <v>334</v>
      </c>
      <c r="M72" s="109" t="s">
        <v>557</v>
      </c>
      <c r="N72" s="68" t="s">
        <v>335</v>
      </c>
    </row>
    <row r="73" spans="1:14" s="55" customFormat="1" ht="24.95" customHeight="1" x14ac:dyDescent="0.2">
      <c r="A73" s="60">
        <v>66</v>
      </c>
      <c r="B73" s="70" t="s">
        <v>525</v>
      </c>
      <c r="C73" s="62"/>
      <c r="D73" s="61" t="s">
        <v>277</v>
      </c>
      <c r="E73" s="112">
        <v>35955</v>
      </c>
      <c r="F73" s="117" t="s">
        <v>270</v>
      </c>
      <c r="G73" s="116" t="s">
        <v>494</v>
      </c>
      <c r="H73" s="110" t="s">
        <v>586</v>
      </c>
      <c r="I73" s="66"/>
      <c r="J73" s="66"/>
      <c r="K73" s="67"/>
      <c r="L73" s="67" t="s">
        <v>334</v>
      </c>
      <c r="M73" s="109" t="s">
        <v>558</v>
      </c>
      <c r="N73" s="68" t="s">
        <v>335</v>
      </c>
    </row>
    <row r="76" spans="1:14" ht="15" customHeight="1" x14ac:dyDescent="0.2">
      <c r="M76" s="258" t="s">
        <v>509</v>
      </c>
      <c r="N76" s="258"/>
    </row>
    <row r="77" spans="1:14" ht="12.75" x14ac:dyDescent="0.2">
      <c r="M77" s="80"/>
      <c r="N77" s="79"/>
    </row>
    <row r="78" spans="1:14" ht="15" customHeight="1" x14ac:dyDescent="0.2">
      <c r="M78" s="258" t="s">
        <v>411</v>
      </c>
      <c r="N78" s="258"/>
    </row>
    <row r="79" spans="1:14" ht="15" customHeight="1" x14ac:dyDescent="0.2">
      <c r="M79" s="258" t="s">
        <v>412</v>
      </c>
      <c r="N79" s="258"/>
    </row>
    <row r="80" spans="1:14" ht="12.75" x14ac:dyDescent="0.2">
      <c r="M80" s="80"/>
      <c r="N80" s="79"/>
    </row>
    <row r="81" spans="11:14" ht="12.75" x14ac:dyDescent="0.2">
      <c r="M81" s="80"/>
      <c r="N81" s="79"/>
    </row>
    <row r="82" spans="11:14" ht="12.75" x14ac:dyDescent="0.2">
      <c r="K82" s="81"/>
      <c r="L82" s="81"/>
      <c r="M82" s="80"/>
      <c r="N82" s="79"/>
    </row>
    <row r="83" spans="11:14" ht="12.75" x14ac:dyDescent="0.2">
      <c r="M83" s="80"/>
      <c r="N83" s="79"/>
    </row>
    <row r="84" spans="11:14" ht="15" customHeight="1" x14ac:dyDescent="0.2">
      <c r="M84" s="258" t="s">
        <v>413</v>
      </c>
      <c r="N84" s="258"/>
    </row>
    <row r="85" spans="11:14" ht="15" customHeight="1" x14ac:dyDescent="0.2">
      <c r="M85" s="258" t="s">
        <v>414</v>
      </c>
      <c r="N85" s="258"/>
    </row>
    <row r="89" spans="11:14" x14ac:dyDescent="0.2">
      <c r="K89" s="82"/>
      <c r="L89" s="82"/>
    </row>
    <row r="90" spans="11:14" x14ac:dyDescent="0.2">
      <c r="K90" s="82"/>
      <c r="L90" s="82"/>
    </row>
    <row r="91" spans="11:14" x14ac:dyDescent="0.2">
      <c r="K91" s="82"/>
      <c r="L91" s="82"/>
    </row>
  </sheetData>
  <autoFilter ref="N1:N91" xr:uid="{D5A24CE3-494F-4447-9126-72344183F42E}"/>
  <sortState xmlns:xlrd2="http://schemas.microsoft.com/office/spreadsheetml/2017/richdata2" ref="B8:N73">
    <sortCondition ref="B8:B73"/>
  </sortState>
  <mergeCells count="20">
    <mergeCell ref="D7:E7"/>
    <mergeCell ref="M76:N76"/>
    <mergeCell ref="M78:N78"/>
    <mergeCell ref="A1:N1"/>
    <mergeCell ref="A2:N2"/>
    <mergeCell ref="A3:N3"/>
    <mergeCell ref="A5:A6"/>
    <mergeCell ref="B5:B6"/>
    <mergeCell ref="C5:C6"/>
    <mergeCell ref="D5:E6"/>
    <mergeCell ref="F5:F6"/>
    <mergeCell ref="I5:K5"/>
    <mergeCell ref="M79:N79"/>
    <mergeCell ref="M84:N84"/>
    <mergeCell ref="M85:N85"/>
    <mergeCell ref="G7:H7"/>
    <mergeCell ref="G5:H6"/>
    <mergeCell ref="L5:L6"/>
    <mergeCell ref="M5:M6"/>
    <mergeCell ref="N5:N6"/>
  </mergeCells>
  <phoneticPr fontId="16" type="noConversion"/>
  <printOptions horizontalCentered="1"/>
  <pageMargins left="0.23622047244094491" right="0.19685039370078741" top="0.86614173228346458" bottom="0.94488188976377963" header="0.31496062992125984" footer="0.31496062992125984"/>
  <pageSetup paperSize="10000" scale="6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C51C5-CAB0-4545-9AA5-B204367F13BE}">
  <dimension ref="A1:F84"/>
  <sheetViews>
    <sheetView topLeftCell="A15" zoomScaleNormal="100" zoomScaleSheetLayoutView="100" zoomScalePageLayoutView="90" workbookViewId="0">
      <selection activeCell="D74" sqref="D74"/>
    </sheetView>
  </sheetViews>
  <sheetFormatPr defaultRowHeight="15" x14ac:dyDescent="0.25"/>
  <cols>
    <col min="1" max="1" width="5.42578125" customWidth="1"/>
    <col min="2" max="2" width="29.85546875" customWidth="1"/>
    <col min="3" max="3" width="21.7109375" customWidth="1"/>
    <col min="4" max="4" width="71.140625" customWidth="1"/>
    <col min="5" max="5" width="9.140625" customWidth="1"/>
  </cols>
  <sheetData>
    <row r="1" spans="1:6" x14ac:dyDescent="0.25">
      <c r="A1" s="284" t="s">
        <v>603</v>
      </c>
      <c r="B1" s="284"/>
      <c r="C1" s="284"/>
      <c r="D1" s="284"/>
    </row>
    <row r="2" spans="1:6" x14ac:dyDescent="0.25">
      <c r="A2" s="284" t="s">
        <v>441</v>
      </c>
      <c r="B2" s="284"/>
      <c r="C2" s="284"/>
      <c r="D2" s="284"/>
    </row>
    <row r="4" spans="1:6" ht="20.100000000000001" customHeight="1" x14ac:dyDescent="0.25">
      <c r="A4" s="85" t="s">
        <v>438</v>
      </c>
      <c r="B4" s="86" t="s">
        <v>442</v>
      </c>
      <c r="C4" s="86" t="s">
        <v>443</v>
      </c>
      <c r="D4" s="86" t="s">
        <v>444</v>
      </c>
    </row>
    <row r="5" spans="1:6" ht="20.100000000000001" customHeight="1" x14ac:dyDescent="0.25">
      <c r="A5" s="86">
        <v>1</v>
      </c>
      <c r="B5" s="86" t="s">
        <v>445</v>
      </c>
      <c r="C5" s="86">
        <v>0</v>
      </c>
      <c r="D5" s="92" t="s">
        <v>10</v>
      </c>
    </row>
    <row r="6" spans="1:6" ht="20.100000000000001" customHeight="1" x14ac:dyDescent="0.25">
      <c r="A6" s="86">
        <v>2</v>
      </c>
      <c r="B6" s="86" t="s">
        <v>446</v>
      </c>
      <c r="C6" s="86">
        <v>0</v>
      </c>
      <c r="D6" s="92" t="s">
        <v>10</v>
      </c>
      <c r="F6" s="87"/>
    </row>
    <row r="7" spans="1:6" ht="20.100000000000001" customHeight="1" x14ac:dyDescent="0.25">
      <c r="A7" s="86">
        <v>3</v>
      </c>
      <c r="B7" s="86" t="s">
        <v>448</v>
      </c>
      <c r="C7" s="86">
        <v>3</v>
      </c>
      <c r="D7" s="86" t="s">
        <v>447</v>
      </c>
    </row>
    <row r="8" spans="1:6" ht="20.100000000000001" customHeight="1" x14ac:dyDescent="0.25">
      <c r="A8" s="86">
        <v>4</v>
      </c>
      <c r="B8" s="86" t="s">
        <v>449</v>
      </c>
      <c r="C8" s="86">
        <v>13</v>
      </c>
      <c r="D8" s="86" t="s">
        <v>602</v>
      </c>
    </row>
    <row r="9" spans="1:6" ht="20.100000000000001" customHeight="1" x14ac:dyDescent="0.25">
      <c r="A9" s="86">
        <v>5</v>
      </c>
      <c r="B9" s="86" t="s">
        <v>450</v>
      </c>
      <c r="C9" s="86">
        <v>9</v>
      </c>
      <c r="D9" s="86" t="s">
        <v>503</v>
      </c>
    </row>
    <row r="10" spans="1:6" ht="20.100000000000001" customHeight="1" x14ac:dyDescent="0.25">
      <c r="A10" s="86">
        <v>6</v>
      </c>
      <c r="B10" s="86" t="s">
        <v>451</v>
      </c>
      <c r="C10" s="86">
        <v>4</v>
      </c>
      <c r="D10" s="86" t="s">
        <v>452</v>
      </c>
    </row>
    <row r="11" spans="1:6" ht="20.100000000000001" customHeight="1" x14ac:dyDescent="0.25">
      <c r="A11" s="86">
        <v>7</v>
      </c>
      <c r="B11" s="86" t="s">
        <v>453</v>
      </c>
      <c r="C11" s="86">
        <v>13</v>
      </c>
      <c r="D11" s="86" t="s">
        <v>504</v>
      </c>
    </row>
    <row r="12" spans="1:6" ht="20.100000000000001" customHeight="1" x14ac:dyDescent="0.25">
      <c r="A12" s="86">
        <v>8</v>
      </c>
      <c r="B12" s="86" t="s">
        <v>454</v>
      </c>
      <c r="C12" s="86">
        <v>5</v>
      </c>
      <c r="D12" s="86" t="s">
        <v>455</v>
      </c>
    </row>
    <row r="13" spans="1:6" ht="20.100000000000001" customHeight="1" x14ac:dyDescent="0.25">
      <c r="A13" s="86">
        <v>9</v>
      </c>
      <c r="B13" s="86" t="s">
        <v>456</v>
      </c>
      <c r="C13" s="86">
        <v>9</v>
      </c>
      <c r="D13" s="86" t="s">
        <v>505</v>
      </c>
    </row>
    <row r="14" spans="1:6" ht="20.100000000000001" customHeight="1" x14ac:dyDescent="0.25">
      <c r="A14" s="282" t="s">
        <v>457</v>
      </c>
      <c r="B14" s="283"/>
      <c r="C14" s="89">
        <f>SUM(C5:C13)</f>
        <v>56</v>
      </c>
      <c r="D14" s="89" t="s">
        <v>458</v>
      </c>
    </row>
    <row r="15" spans="1:6" ht="15.75" x14ac:dyDescent="0.25">
      <c r="D15" s="90"/>
    </row>
    <row r="16" spans="1:6" x14ac:dyDescent="0.25">
      <c r="A16" s="284" t="s">
        <v>604</v>
      </c>
      <c r="B16" s="284"/>
      <c r="C16" s="284"/>
      <c r="D16" s="284"/>
    </row>
    <row r="17" spans="1:4" x14ac:dyDescent="0.25">
      <c r="A17" s="284" t="s">
        <v>441</v>
      </c>
      <c r="B17" s="284"/>
      <c r="C17" s="284"/>
      <c r="D17" s="284"/>
    </row>
    <row r="19" spans="1:4" ht="30" customHeight="1" x14ac:dyDescent="0.25">
      <c r="A19" s="86" t="s">
        <v>438</v>
      </c>
      <c r="B19" s="86" t="s">
        <v>459</v>
      </c>
      <c r="C19" s="85" t="s">
        <v>443</v>
      </c>
      <c r="D19" s="86" t="s">
        <v>460</v>
      </c>
    </row>
    <row r="20" spans="1:4" ht="30" customHeight="1" x14ac:dyDescent="0.25">
      <c r="A20" s="86">
        <v>1</v>
      </c>
      <c r="B20" s="86" t="s">
        <v>461</v>
      </c>
      <c r="C20" s="86">
        <v>3</v>
      </c>
      <c r="D20" s="86" t="s">
        <v>462</v>
      </c>
    </row>
    <row r="21" spans="1:4" ht="30" customHeight="1" x14ac:dyDescent="0.25">
      <c r="A21" s="86">
        <v>2</v>
      </c>
      <c r="B21" s="86" t="s">
        <v>463</v>
      </c>
      <c r="C21" s="86">
        <v>39</v>
      </c>
      <c r="D21" s="86" t="s">
        <v>462</v>
      </c>
    </row>
    <row r="22" spans="1:4" ht="30" customHeight="1" x14ac:dyDescent="0.25">
      <c r="A22" s="86">
        <v>3</v>
      </c>
      <c r="B22" s="86" t="s">
        <v>464</v>
      </c>
      <c r="C22" s="86">
        <v>14</v>
      </c>
      <c r="D22" s="86" t="s">
        <v>462</v>
      </c>
    </row>
    <row r="23" spans="1:4" ht="30" customHeight="1" x14ac:dyDescent="0.25">
      <c r="A23" s="86">
        <v>4</v>
      </c>
      <c r="B23" s="86" t="s">
        <v>465</v>
      </c>
      <c r="C23" s="86">
        <v>0</v>
      </c>
      <c r="D23" s="86" t="s">
        <v>10</v>
      </c>
    </row>
    <row r="24" spans="1:4" ht="30" customHeight="1" x14ac:dyDescent="0.25">
      <c r="A24" s="282" t="s">
        <v>457</v>
      </c>
      <c r="B24" s="283"/>
      <c r="C24" s="89">
        <f>SUM(C20:C23)</f>
        <v>56</v>
      </c>
      <c r="D24" s="89" t="s">
        <v>458</v>
      </c>
    </row>
    <row r="29" spans="1:4" x14ac:dyDescent="0.25">
      <c r="A29" s="284" t="s">
        <v>605</v>
      </c>
      <c r="B29" s="284"/>
      <c r="C29" s="284"/>
      <c r="D29" s="284"/>
    </row>
    <row r="30" spans="1:4" x14ac:dyDescent="0.25">
      <c r="A30" s="284" t="s">
        <v>441</v>
      </c>
      <c r="B30" s="284"/>
      <c r="C30" s="284"/>
      <c r="D30" s="284"/>
    </row>
    <row r="32" spans="1:4" ht="30" customHeight="1" x14ac:dyDescent="0.25">
      <c r="A32" s="85" t="s">
        <v>438</v>
      </c>
      <c r="B32" s="86" t="s">
        <v>466</v>
      </c>
      <c r="C32" s="86" t="s">
        <v>443</v>
      </c>
      <c r="D32" s="86" t="s">
        <v>460</v>
      </c>
    </row>
    <row r="33" spans="1:4" ht="24.95" customHeight="1" x14ac:dyDescent="0.25">
      <c r="A33" s="86">
        <v>1</v>
      </c>
      <c r="B33" s="86" t="s">
        <v>467</v>
      </c>
      <c r="C33" s="86">
        <v>0</v>
      </c>
      <c r="D33" s="86" t="s">
        <v>468</v>
      </c>
    </row>
    <row r="34" spans="1:4" ht="24.95" customHeight="1" x14ac:dyDescent="0.25">
      <c r="A34" s="86">
        <v>2</v>
      </c>
      <c r="B34" s="86" t="s">
        <v>469</v>
      </c>
      <c r="C34" s="86">
        <v>1</v>
      </c>
      <c r="D34" s="86" t="s">
        <v>470</v>
      </c>
    </row>
    <row r="35" spans="1:4" ht="24.95" customHeight="1" x14ac:dyDescent="0.25">
      <c r="A35" s="86">
        <v>3</v>
      </c>
      <c r="B35" s="86" t="s">
        <v>471</v>
      </c>
      <c r="C35" s="86">
        <v>3</v>
      </c>
      <c r="D35" s="86" t="s">
        <v>472</v>
      </c>
    </row>
    <row r="36" spans="1:4" ht="24.95" customHeight="1" x14ac:dyDescent="0.25">
      <c r="A36" s="86">
        <v>4</v>
      </c>
      <c r="B36" s="86" t="s">
        <v>4</v>
      </c>
      <c r="C36" s="86">
        <v>2</v>
      </c>
      <c r="D36" s="86" t="s">
        <v>473</v>
      </c>
    </row>
    <row r="37" spans="1:4" ht="24.95" customHeight="1" x14ac:dyDescent="0.25">
      <c r="A37" s="91">
        <v>5</v>
      </c>
      <c r="B37" s="92" t="s">
        <v>10</v>
      </c>
      <c r="C37" s="86">
        <v>26</v>
      </c>
      <c r="D37" s="86" t="s">
        <v>474</v>
      </c>
    </row>
    <row r="38" spans="1:4" ht="24.95" customHeight="1" x14ac:dyDescent="0.25">
      <c r="A38" s="91">
        <v>6</v>
      </c>
      <c r="B38" s="92" t="s">
        <v>10</v>
      </c>
      <c r="C38" s="86">
        <v>24</v>
      </c>
      <c r="D38" s="86" t="s">
        <v>475</v>
      </c>
    </row>
    <row r="39" spans="1:4" ht="24.95" customHeight="1" x14ac:dyDescent="0.25">
      <c r="A39" s="282" t="s">
        <v>457</v>
      </c>
      <c r="B39" s="283"/>
      <c r="C39" s="89">
        <f>SUM(C33:C38)</f>
        <v>56</v>
      </c>
      <c r="D39" s="89" t="s">
        <v>606</v>
      </c>
    </row>
    <row r="41" spans="1:4" x14ac:dyDescent="0.25">
      <c r="A41" s="284" t="s">
        <v>607</v>
      </c>
      <c r="B41" s="284"/>
      <c r="C41" s="284"/>
      <c r="D41" s="284"/>
    </row>
    <row r="42" spans="1:4" x14ac:dyDescent="0.25">
      <c r="A42" s="284" t="s">
        <v>441</v>
      </c>
      <c r="B42" s="284"/>
      <c r="C42" s="284"/>
      <c r="D42" s="284"/>
    </row>
    <row r="44" spans="1:4" ht="24.95" customHeight="1" x14ac:dyDescent="0.25">
      <c r="A44" s="86" t="s">
        <v>438</v>
      </c>
      <c r="B44" s="86" t="s">
        <v>476</v>
      </c>
      <c r="C44" s="86" t="s">
        <v>443</v>
      </c>
      <c r="D44" s="86" t="s">
        <v>460</v>
      </c>
    </row>
    <row r="45" spans="1:4" ht="24.95" customHeight="1" x14ac:dyDescent="0.25">
      <c r="A45" s="86">
        <v>1</v>
      </c>
      <c r="B45" s="86" t="s">
        <v>477</v>
      </c>
      <c r="C45" s="86">
        <v>0</v>
      </c>
      <c r="D45" s="86" t="s">
        <v>462</v>
      </c>
    </row>
    <row r="46" spans="1:4" ht="24.95" customHeight="1" x14ac:dyDescent="0.25">
      <c r="A46" s="86">
        <v>2</v>
      </c>
      <c r="B46" s="86" t="s">
        <v>478</v>
      </c>
      <c r="C46" s="86">
        <v>6</v>
      </c>
      <c r="D46" s="86" t="s">
        <v>462</v>
      </c>
    </row>
    <row r="47" spans="1:4" ht="24.95" customHeight="1" x14ac:dyDescent="0.25">
      <c r="A47" s="86">
        <v>3</v>
      </c>
      <c r="B47" s="86" t="s">
        <v>479</v>
      </c>
      <c r="C47" s="86">
        <v>24</v>
      </c>
      <c r="D47" s="86" t="s">
        <v>480</v>
      </c>
    </row>
    <row r="48" spans="1:4" ht="24.95" customHeight="1" x14ac:dyDescent="0.25">
      <c r="A48" s="86">
        <v>4</v>
      </c>
      <c r="B48" s="86" t="s">
        <v>481</v>
      </c>
      <c r="C48" s="86">
        <v>16</v>
      </c>
      <c r="D48" s="86" t="s">
        <v>462</v>
      </c>
    </row>
    <row r="49" spans="1:4" ht="24.95" customHeight="1" x14ac:dyDescent="0.25">
      <c r="A49" s="86">
        <v>5</v>
      </c>
      <c r="B49" s="86" t="s">
        <v>482</v>
      </c>
      <c r="C49" s="86">
        <v>0</v>
      </c>
      <c r="D49" s="86" t="s">
        <v>10</v>
      </c>
    </row>
    <row r="50" spans="1:4" ht="24.95" customHeight="1" x14ac:dyDescent="0.25">
      <c r="A50" s="86">
        <v>6</v>
      </c>
      <c r="B50" s="86" t="s">
        <v>483</v>
      </c>
      <c r="C50" s="86">
        <v>0</v>
      </c>
      <c r="D50" s="86" t="s">
        <v>10</v>
      </c>
    </row>
    <row r="51" spans="1:4" ht="24.95" customHeight="1" x14ac:dyDescent="0.25">
      <c r="A51" s="86">
        <v>7</v>
      </c>
      <c r="B51" s="86" t="s">
        <v>484</v>
      </c>
      <c r="C51" s="86">
        <v>10</v>
      </c>
      <c r="D51" s="86" t="s">
        <v>462</v>
      </c>
    </row>
    <row r="52" spans="1:4" ht="24.95" customHeight="1" x14ac:dyDescent="0.25">
      <c r="A52" s="86">
        <v>8</v>
      </c>
      <c r="B52" s="86" t="s">
        <v>485</v>
      </c>
      <c r="C52" s="86">
        <v>0</v>
      </c>
      <c r="D52" s="86"/>
    </row>
    <row r="53" spans="1:4" ht="24.95" customHeight="1" x14ac:dyDescent="0.25">
      <c r="A53" s="282" t="s">
        <v>457</v>
      </c>
      <c r="B53" s="283"/>
      <c r="C53" s="89">
        <f>SUM(C45:C52)</f>
        <v>56</v>
      </c>
      <c r="D53" s="89" t="s">
        <v>458</v>
      </c>
    </row>
    <row r="55" spans="1:4" x14ac:dyDescent="0.25">
      <c r="A55" s="284" t="s">
        <v>608</v>
      </c>
      <c r="B55" s="284"/>
      <c r="C55" s="284"/>
      <c r="D55" s="284"/>
    </row>
    <row r="56" spans="1:4" x14ac:dyDescent="0.25">
      <c r="A56" s="284" t="s">
        <v>441</v>
      </c>
      <c r="B56" s="284"/>
      <c r="C56" s="284"/>
      <c r="D56" s="284"/>
    </row>
    <row r="58" spans="1:4" ht="30" customHeight="1" x14ac:dyDescent="0.25">
      <c r="A58" s="85" t="s">
        <v>438</v>
      </c>
      <c r="B58" s="86" t="s">
        <v>486</v>
      </c>
      <c r="C58" s="86" t="s">
        <v>443</v>
      </c>
      <c r="D58" s="86" t="s">
        <v>460</v>
      </c>
    </row>
    <row r="59" spans="1:4" ht="30" customHeight="1" x14ac:dyDescent="0.25">
      <c r="A59" s="86">
        <v>1</v>
      </c>
      <c r="B59" s="86" t="s">
        <v>439</v>
      </c>
      <c r="C59" s="86">
        <v>34</v>
      </c>
      <c r="D59" s="86" t="s">
        <v>462</v>
      </c>
    </row>
    <row r="60" spans="1:4" ht="30" customHeight="1" x14ac:dyDescent="0.25">
      <c r="A60" s="86">
        <v>2</v>
      </c>
      <c r="B60" s="86" t="s">
        <v>440</v>
      </c>
      <c r="C60" s="86">
        <v>22</v>
      </c>
      <c r="D60" s="86" t="s">
        <v>462</v>
      </c>
    </row>
    <row r="61" spans="1:4" ht="30" customHeight="1" x14ac:dyDescent="0.25">
      <c r="A61" s="282" t="s">
        <v>457</v>
      </c>
      <c r="B61" s="283"/>
      <c r="C61" s="89">
        <f>SUM(C59:C60)</f>
        <v>56</v>
      </c>
      <c r="D61" s="89" t="s">
        <v>458</v>
      </c>
    </row>
    <row r="62" spans="1:4" ht="15.6" customHeight="1" x14ac:dyDescent="0.25">
      <c r="A62" s="84"/>
      <c r="B62" s="84"/>
      <c r="C62" s="84"/>
      <c r="D62" s="84"/>
    </row>
    <row r="63" spans="1:4" x14ac:dyDescent="0.25">
      <c r="A63" s="284" t="s">
        <v>609</v>
      </c>
      <c r="B63" s="284"/>
      <c r="C63" s="284"/>
      <c r="D63" s="284"/>
    </row>
    <row r="64" spans="1:4" x14ac:dyDescent="0.25">
      <c r="A64" s="284" t="s">
        <v>441</v>
      </c>
      <c r="B64" s="284"/>
      <c r="C64" s="284"/>
      <c r="D64" s="284"/>
    </row>
    <row r="66" spans="1:4" ht="30" customHeight="1" x14ac:dyDescent="0.25">
      <c r="A66" s="85" t="s">
        <v>438</v>
      </c>
      <c r="B66" s="86" t="s">
        <v>487</v>
      </c>
      <c r="C66" s="86" t="s">
        <v>443</v>
      </c>
      <c r="D66" s="86" t="s">
        <v>488</v>
      </c>
    </row>
    <row r="67" spans="1:4" ht="30" customHeight="1" x14ac:dyDescent="0.25">
      <c r="A67" s="86">
        <v>1</v>
      </c>
      <c r="B67" s="86" t="s">
        <v>489</v>
      </c>
      <c r="C67" s="86">
        <v>6</v>
      </c>
      <c r="D67" s="86" t="s">
        <v>462</v>
      </c>
    </row>
    <row r="68" spans="1:4" ht="30" customHeight="1" x14ac:dyDescent="0.25">
      <c r="A68" s="86">
        <v>2</v>
      </c>
      <c r="B68" s="86" t="s">
        <v>490</v>
      </c>
      <c r="C68" s="86">
        <v>26</v>
      </c>
      <c r="D68" s="86" t="s">
        <v>462</v>
      </c>
    </row>
    <row r="69" spans="1:4" ht="30" customHeight="1" x14ac:dyDescent="0.25">
      <c r="A69" s="86">
        <v>3</v>
      </c>
      <c r="B69" s="86" t="s">
        <v>491</v>
      </c>
      <c r="C69" s="86">
        <v>24</v>
      </c>
      <c r="D69" s="86" t="s">
        <v>492</v>
      </c>
    </row>
    <row r="70" spans="1:4" ht="30" customHeight="1" x14ac:dyDescent="0.25">
      <c r="A70" s="86">
        <v>4</v>
      </c>
      <c r="B70" s="86" t="s">
        <v>612</v>
      </c>
      <c r="C70" s="86">
        <v>49</v>
      </c>
      <c r="D70" s="86" t="s">
        <v>493</v>
      </c>
    </row>
    <row r="71" spans="1:4" ht="30" customHeight="1" x14ac:dyDescent="0.25">
      <c r="A71" s="86">
        <v>5</v>
      </c>
      <c r="B71" s="86" t="s">
        <v>613</v>
      </c>
      <c r="C71" s="86">
        <v>66</v>
      </c>
      <c r="D71" s="86" t="s">
        <v>493</v>
      </c>
    </row>
    <row r="72" spans="1:4" ht="30" customHeight="1" x14ac:dyDescent="0.25">
      <c r="A72" s="285" t="s">
        <v>457</v>
      </c>
      <c r="B72" s="285"/>
      <c r="C72" s="88">
        <f>SUM(C67:C71)</f>
        <v>171</v>
      </c>
      <c r="D72" s="93" t="s">
        <v>610</v>
      </c>
    </row>
    <row r="73" spans="1:4" x14ac:dyDescent="0.25">
      <c r="C73" s="2"/>
      <c r="D73" s="94"/>
    </row>
    <row r="74" spans="1:4" ht="15.75" x14ac:dyDescent="0.25">
      <c r="C74" s="2"/>
      <c r="D74" s="95"/>
    </row>
    <row r="75" spans="1:4" ht="15.75" x14ac:dyDescent="0.25">
      <c r="C75" s="2"/>
      <c r="D75" s="95"/>
    </row>
    <row r="76" spans="1:4" ht="15.75" x14ac:dyDescent="0.25">
      <c r="A76" s="286"/>
      <c r="B76" s="286"/>
      <c r="C76" s="286"/>
      <c r="D76" s="95"/>
    </row>
    <row r="77" spans="1:4" ht="15.75" x14ac:dyDescent="0.25">
      <c r="A77" s="286"/>
      <c r="B77" s="286"/>
      <c r="C77" s="286"/>
      <c r="D77" s="95"/>
    </row>
    <row r="78" spans="1:4" ht="15.75" x14ac:dyDescent="0.25">
      <c r="A78" s="286"/>
      <c r="B78" s="286"/>
      <c r="D78" s="95"/>
    </row>
    <row r="79" spans="1:4" ht="15.75" x14ac:dyDescent="0.25">
      <c r="A79" s="286"/>
      <c r="B79" s="286"/>
      <c r="D79" s="95"/>
    </row>
    <row r="80" spans="1:4" ht="15.75" x14ac:dyDescent="0.25">
      <c r="A80" s="286"/>
      <c r="B80" s="286"/>
      <c r="D80" s="96"/>
    </row>
    <row r="81" spans="1:4" ht="15.75" x14ac:dyDescent="0.25">
      <c r="A81" s="287"/>
      <c r="B81" s="287"/>
      <c r="C81" s="287"/>
      <c r="D81" s="97"/>
    </row>
    <row r="82" spans="1:4" ht="15.75" x14ac:dyDescent="0.25">
      <c r="A82" s="286"/>
      <c r="B82" s="286"/>
      <c r="C82" s="286"/>
      <c r="D82" s="98"/>
    </row>
    <row r="83" spans="1:4" ht="15.75" x14ac:dyDescent="0.25">
      <c r="A83" s="99"/>
      <c r="B83" s="99"/>
      <c r="D83" s="95"/>
    </row>
    <row r="84" spans="1:4" ht="15.75" x14ac:dyDescent="0.25">
      <c r="D84" s="90"/>
    </row>
  </sheetData>
  <mergeCells count="25">
    <mergeCell ref="A82:C82"/>
    <mergeCell ref="A76:C76"/>
    <mergeCell ref="A77:C77"/>
    <mergeCell ref="A78:B78"/>
    <mergeCell ref="A79:B79"/>
    <mergeCell ref="A80:B80"/>
    <mergeCell ref="A81:C81"/>
    <mergeCell ref="A72:B72"/>
    <mergeCell ref="A29:D29"/>
    <mergeCell ref="A30:D30"/>
    <mergeCell ref="A39:B39"/>
    <mergeCell ref="A41:D41"/>
    <mergeCell ref="A42:D42"/>
    <mergeCell ref="A53:B53"/>
    <mergeCell ref="A55:D55"/>
    <mergeCell ref="A56:D56"/>
    <mergeCell ref="A61:B61"/>
    <mergeCell ref="A63:D63"/>
    <mergeCell ref="A64:D64"/>
    <mergeCell ref="A24:B24"/>
    <mergeCell ref="A1:D1"/>
    <mergeCell ref="A2:D2"/>
    <mergeCell ref="A14:B14"/>
    <mergeCell ref="A16:D16"/>
    <mergeCell ref="A17:D17"/>
  </mergeCells>
  <printOptions horizontalCentered="1"/>
  <pageMargins left="1.59" right="0.55118110236220474" top="0.59055118110236227" bottom="0.39370078740157483" header="0.31496062992125984" footer="0.31496062992125984"/>
  <pageSetup paperSize="200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duk PNS</vt:lpstr>
      <vt:lpstr>nominatif PPPK penuh waktu</vt:lpstr>
      <vt:lpstr>nominatif PPPK paruh waktu</vt:lpstr>
      <vt:lpstr>rekap nominatif</vt:lpstr>
      <vt:lpstr>'rekap nominatif'!Print_Area</vt:lpstr>
      <vt:lpstr>'duk PNS'!Print_Titles</vt:lpstr>
      <vt:lpstr>'nominatif PPPK paruh waktu'!Print_Titles</vt:lpstr>
      <vt:lpstr>'nominatif PPPK penuh waktu'!Print_Titles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Firman Firdaus</cp:lastModifiedBy>
  <cp:lastPrinted>2025-07-07T03:57:05Z</cp:lastPrinted>
  <dcterms:created xsi:type="dcterms:W3CDTF">2015-03-31T02:53:09Z</dcterms:created>
  <dcterms:modified xsi:type="dcterms:W3CDTF">2026-01-21T02:31:35Z</dcterms:modified>
</cp:coreProperties>
</file>